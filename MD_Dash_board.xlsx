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\Department wise Documents\Operation &amp; Process\Working\"/>
    </mc:Choice>
  </mc:AlternateContent>
  <bookViews>
    <workbookView xWindow="0" yWindow="0" windowWidth="20295" windowHeight="7560" tabRatio="500"/>
  </bookViews>
  <sheets>
    <sheet name="Production Dashboard" sheetId="1" r:id="rId1"/>
    <sheet name="Inventory &amp; Transport Dashboard" sheetId="2" r:id="rId2"/>
    <sheet name="Data Entry Sheet" sheetId="3" r:id="rId3"/>
    <sheet name="Transport Sheet" sheetId="4" r:id="rId4"/>
    <sheet name="FG Sheet" sheetId="5" r:id="rId5"/>
    <sheet name="RM Sheet" sheetId="6" r:id="rId6"/>
    <sheet name="Shortage" sheetId="7" r:id="rId7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2" i="2" l="1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A54" i="2"/>
  <c r="A55" i="2"/>
  <c r="A42" i="2"/>
  <c r="A43" i="2"/>
  <c r="A44" i="2"/>
  <c r="A45" i="2"/>
  <c r="A46" i="2"/>
  <c r="A47" i="2"/>
  <c r="A48" i="2"/>
  <c r="A49" i="2"/>
  <c r="A50" i="2"/>
  <c r="A51" i="2"/>
  <c r="A52" i="2"/>
  <c r="A53" i="2"/>
  <c r="E58" i="1"/>
  <c r="M50" i="3"/>
  <c r="E10" i="7"/>
  <c r="E11" i="7"/>
  <c r="E12" i="7"/>
  <c r="E13" i="7"/>
  <c r="E14" i="7"/>
  <c r="E15" i="7"/>
  <c r="E16" i="7"/>
  <c r="D10" i="7"/>
  <c r="D11" i="7"/>
  <c r="D12" i="7"/>
  <c r="D13" i="7"/>
  <c r="D14" i="7"/>
  <c r="D15" i="7"/>
  <c r="D16" i="7"/>
  <c r="D17" i="7"/>
  <c r="D18" i="7"/>
  <c r="D19" i="7"/>
  <c r="D25" i="2" l="1"/>
  <c r="D26" i="2"/>
  <c r="D24" i="2"/>
  <c r="C60" i="2"/>
  <c r="C61" i="2"/>
  <c r="C62" i="2"/>
  <c r="C63" i="2"/>
  <c r="G10" i="2" l="1"/>
  <c r="D9" i="1"/>
  <c r="D71" i="5"/>
  <c r="B71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" i="5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C6" i="2" l="1"/>
  <c r="F12" i="3"/>
  <c r="F11" i="3"/>
  <c r="C71" i="5"/>
  <c r="E6" i="2" s="1"/>
  <c r="D24" i="7" l="1"/>
  <c r="D23" i="7"/>
  <c r="D22" i="7"/>
  <c r="E18" i="7"/>
  <c r="E17" i="7"/>
  <c r="E9" i="7"/>
  <c r="D9" i="7"/>
  <c r="E8" i="7"/>
  <c r="D8" i="7"/>
  <c r="E7" i="7"/>
  <c r="D7" i="7"/>
  <c r="E6" i="7"/>
  <c r="D6" i="7"/>
  <c r="E5" i="7"/>
  <c r="D5" i="7"/>
  <c r="E4" i="7"/>
  <c r="D4" i="7"/>
  <c r="E3" i="7"/>
  <c r="D3" i="7"/>
  <c r="I71" i="6"/>
  <c r="H71" i="6"/>
  <c r="G71" i="6"/>
  <c r="F71" i="6"/>
  <c r="E71" i="6"/>
  <c r="D71" i="6"/>
  <c r="C71" i="6"/>
  <c r="G6" i="2" s="1"/>
  <c r="B71" i="6"/>
  <c r="A6" i="2" s="1"/>
  <c r="K67" i="6"/>
  <c r="J67" i="6"/>
  <c r="K66" i="6"/>
  <c r="J66" i="6"/>
  <c r="K65" i="6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55" i="6"/>
  <c r="J55" i="6"/>
  <c r="K54" i="6"/>
  <c r="J54" i="6"/>
  <c r="K53" i="6"/>
  <c r="J53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71" i="5"/>
  <c r="J71" i="5"/>
  <c r="I71" i="5"/>
  <c r="H71" i="5"/>
  <c r="G71" i="5"/>
  <c r="F71" i="5"/>
  <c r="E71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B18" i="4"/>
  <c r="B17" i="4"/>
  <c r="B16" i="4"/>
  <c r="B15" i="4"/>
  <c r="R50" i="3"/>
  <c r="Q50" i="3"/>
  <c r="P50" i="3"/>
  <c r="O50" i="3"/>
  <c r="N50" i="3"/>
  <c r="K50" i="3"/>
  <c r="I50" i="3"/>
  <c r="G50" i="3"/>
  <c r="C37" i="1" s="1"/>
  <c r="F50" i="3"/>
  <c r="E50" i="3"/>
  <c r="D50" i="3"/>
  <c r="C35" i="1" s="1"/>
  <c r="C50" i="3"/>
  <c r="B50" i="3"/>
  <c r="C33" i="1" s="1"/>
  <c r="L28" i="3"/>
  <c r="J28" i="3"/>
  <c r="H28" i="3"/>
  <c r="L27" i="3"/>
  <c r="H27" i="3"/>
  <c r="H26" i="3"/>
  <c r="L25" i="3"/>
  <c r="H25" i="3"/>
  <c r="C45" i="1" s="1"/>
  <c r="B25" i="3"/>
  <c r="J24" i="3"/>
  <c r="H24" i="3"/>
  <c r="L23" i="3"/>
  <c r="L50" i="3" s="1"/>
  <c r="H23" i="3"/>
  <c r="J22" i="3"/>
  <c r="H22" i="3"/>
  <c r="J20" i="3"/>
  <c r="J50" i="3" s="1"/>
  <c r="L19" i="3"/>
  <c r="H19" i="3"/>
  <c r="H50" i="3" s="1"/>
  <c r="C66" i="2"/>
  <c r="B66" i="2"/>
  <c r="A66" i="2"/>
  <c r="C65" i="2"/>
  <c r="B65" i="2"/>
  <c r="A65" i="2"/>
  <c r="C64" i="2"/>
  <c r="B64" i="2"/>
  <c r="A64" i="2"/>
  <c r="B63" i="2"/>
  <c r="A63" i="2"/>
  <c r="B62" i="2"/>
  <c r="A62" i="2"/>
  <c r="B61" i="2"/>
  <c r="A61" i="2"/>
  <c r="B60" i="2"/>
  <c r="C35" i="2" s="1"/>
  <c r="A60" i="2"/>
  <c r="B35" i="2" s="1"/>
  <c r="C59" i="2"/>
  <c r="B59" i="2"/>
  <c r="A59" i="2"/>
  <c r="B34" i="2" s="1"/>
  <c r="B33" i="2"/>
  <c r="B32" i="2"/>
  <c r="C41" i="2"/>
  <c r="B41" i="2"/>
  <c r="A41" i="2"/>
  <c r="B31" i="2" s="1"/>
  <c r="D35" i="2"/>
  <c r="D34" i="2"/>
  <c r="C26" i="2"/>
  <c r="B26" i="2"/>
  <c r="A26" i="2"/>
  <c r="C25" i="2"/>
  <c r="B25" i="2"/>
  <c r="A25" i="2"/>
  <c r="C24" i="2"/>
  <c r="B24" i="2"/>
  <c r="A24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C10" i="2"/>
  <c r="A10" i="2"/>
  <c r="C65" i="1"/>
  <c r="C64" i="1"/>
  <c r="C63" i="1"/>
  <c r="C62" i="1"/>
  <c r="C66" i="1" s="1"/>
  <c r="G58" i="1"/>
  <c r="B58" i="1"/>
  <c r="C48" i="1"/>
  <c r="C47" i="1"/>
  <c r="C46" i="1"/>
  <c r="B41" i="1"/>
  <c r="C36" i="1"/>
  <c r="C34" i="1"/>
  <c r="G25" i="1"/>
  <c r="O27" i="1" s="1"/>
  <c r="E25" i="1"/>
  <c r="B25" i="1"/>
  <c r="O25" i="1" s="1"/>
  <c r="K17" i="1"/>
  <c r="I17" i="1"/>
  <c r="G17" i="1"/>
  <c r="B17" i="1"/>
  <c r="I9" i="1"/>
  <c r="E9" i="1"/>
  <c r="B4" i="1"/>
  <c r="C34" i="2" l="1"/>
  <c r="D32" i="2"/>
  <c r="E41" i="2"/>
  <c r="D31" i="2" s="1"/>
  <c r="D33" i="2"/>
  <c r="C31" i="2"/>
  <c r="C49" i="1"/>
  <c r="D41" i="2"/>
  <c r="I25" i="1"/>
  <c r="M71" i="5"/>
  <c r="K71" i="6"/>
  <c r="L71" i="5"/>
  <c r="C38" i="1"/>
  <c r="E35" i="1" s="1"/>
  <c r="E36" i="1"/>
  <c r="E37" i="1"/>
  <c r="B69" i="1"/>
  <c r="I52" i="3"/>
  <c r="K9" i="1" s="1"/>
  <c r="O26" i="1"/>
  <c r="C33" i="2"/>
  <c r="D52" i="3"/>
  <c r="J71" i="6"/>
  <c r="C32" i="2"/>
  <c r="E10" i="2" l="1"/>
  <c r="E41" i="1"/>
  <c r="G41" i="1" s="1"/>
  <c r="E38" i="1"/>
  <c r="B9" i="1"/>
  <c r="G9" i="1" s="1"/>
  <c r="B52" i="1"/>
  <c r="E34" i="1"/>
  <c r="E33" i="1"/>
</calcChain>
</file>

<file path=xl/sharedStrings.xml><?xml version="1.0" encoding="utf-8"?>
<sst xmlns="http://schemas.openxmlformats.org/spreadsheetml/2006/main" count="268" uniqueCount="191">
  <si>
    <t>RGS FEEDS &amp; CO.</t>
  </si>
  <si>
    <t>MANAGING DIRECTOR DASHBOARD — MONTHLY PERFORMANCE SUMMARY</t>
  </si>
  <si>
    <t>COMPANY-WIDE SUMMARY (UNIT 1 + UNIT 2)</t>
  </si>
  <si>
    <t>TOTAL ACTUAL PRODUCTION (MT)</t>
  </si>
  <si>
    <t>TOTAL HOLIDAY HRS</t>
  </si>
  <si>
    <t>TOTAL TARGET (MT)</t>
  </si>
  <si>
    <t>ACHIEVEMENT %</t>
  </si>
  <si>
    <t>TOTAL SALES (₹)</t>
  </si>
  <si>
    <t>TOTAL DOWNTIME (Hrs)</t>
  </si>
  <si>
    <t>STOCK, EXPENSES &amp; PURCHASE ORDERS</t>
  </si>
  <si>
    <t>RM STOCK (MT)</t>
  </si>
  <si>
    <t>OFFICE EXPENSES (₹)</t>
  </si>
  <si>
    <t>PO's - SPARES</t>
  </si>
  <si>
    <t>SOLAR UNITS (kWh)</t>
  </si>
  <si>
    <t>EB UNITS (kWh)</t>
  </si>
  <si>
    <t>GRID UNITS (kWh)</t>
  </si>
  <si>
    <t>TOTAL POWER (kWh)</t>
  </si>
  <si>
    <t>Source</t>
  </si>
  <si>
    <t>kWh</t>
  </si>
  <si>
    <t>Solar</t>
  </si>
  <si>
    <t>EB</t>
  </si>
  <si>
    <t>Grid</t>
  </si>
  <si>
    <t>UNIT 1 — RGS POULTRY &amp; CATTLE (OWN PRODUCTION + 3RD PARTY JOB WORK)</t>
  </si>
  <si>
    <t>Production Line</t>
  </si>
  <si>
    <t>Actual (MT)</t>
  </si>
  <si>
    <t>Share of Unit 1 %</t>
  </si>
  <si>
    <t>RGS - Poultry</t>
  </si>
  <si>
    <t>RGS - Cattle</t>
  </si>
  <si>
    <t>KNC</t>
  </si>
  <si>
    <t>SAF</t>
  </si>
  <si>
    <t>Others</t>
  </si>
  <si>
    <t>UNIT 1 TOTAL</t>
  </si>
  <si>
    <t>UNIT 1 TARGET (MT)</t>
  </si>
  <si>
    <t>UNIT 1 ACTUAL (MT)</t>
  </si>
  <si>
    <t>UNIT 1 ACHIEVEMENT %</t>
  </si>
  <si>
    <t>UNIT 1 DOWNTIME BY REASON</t>
  </si>
  <si>
    <t>Reason</t>
  </si>
  <si>
    <t>Hours</t>
  </si>
  <si>
    <t>Product Change</t>
  </si>
  <si>
    <t>Die Change</t>
  </si>
  <si>
    <t>Breakdown</t>
  </si>
  <si>
    <t>TOTAL</t>
  </si>
  <si>
    <t>UNIT 1 DOWNTIME (Hrs)</t>
  </si>
  <si>
    <t>UNIT 2</t>
  </si>
  <si>
    <t>TARGET (MT)</t>
  </si>
  <si>
    <t>ACTUAL (MT)</t>
  </si>
  <si>
    <t>UNIT 2 DOWNTIME BY REASON</t>
  </si>
  <si>
    <t>DOWNTIME (Hrs)</t>
  </si>
  <si>
    <t>RGS Feeds &amp; Co.  |  Inventory &amp; Transport Dashboard</t>
  </si>
  <si>
    <t>Daily snapshot - vehicle movement, own fleet, FG dispatch, RM receipt, and critical alerts</t>
  </si>
  <si>
    <t>Report Date:</t>
  </si>
  <si>
    <t>TOTAL VEHICLES INWARD</t>
  </si>
  <si>
    <t>TOTAL VEHICLES OUTWARD</t>
  </si>
  <si>
    <t>FG DISPATCHED (MT)</t>
  </si>
  <si>
    <t>RM RECEIVED (MT)</t>
  </si>
  <si>
    <t>OWN FLEET - IN TRANSIT</t>
  </si>
  <si>
    <t>OWN FLEET - IDLE</t>
  </si>
  <si>
    <t>RM MATERIALS IN SHORTAGE</t>
  </si>
  <si>
    <t>FG PRODUCTS STOCKED OUT</t>
  </si>
  <si>
    <t>Company-wise Breakdown</t>
  </si>
  <si>
    <t>Company</t>
  </si>
  <si>
    <t>Vehicles Inward</t>
  </si>
  <si>
    <t>Vehicles Outward</t>
  </si>
  <si>
    <t>FG Dispatched (MT)</t>
  </si>
  <si>
    <t>RM Received (MT)</t>
  </si>
  <si>
    <t>RGS</t>
  </si>
  <si>
    <t>Own Vehicle Quick View</t>
  </si>
  <si>
    <t>Vehicle No</t>
  </si>
  <si>
    <t>Trip Status</t>
  </si>
  <si>
    <t>Current Location</t>
  </si>
  <si>
    <t>Next Schedule</t>
  </si>
  <si>
    <t>Critical Alerts Quick View</t>
  </si>
  <si>
    <t>Type</t>
  </si>
  <si>
    <t>Item</t>
  </si>
  <si>
    <t>Detail</t>
  </si>
  <si>
    <t>Status</t>
  </si>
  <si>
    <t>RM Shortage</t>
  </si>
  <si>
    <t>FG Stock</t>
  </si>
  <si>
    <t>Legend:</t>
  </si>
  <si>
    <t>Blue text = cells to fill in daily</t>
  </si>
  <si>
    <t>RM Shortage Tracker  —  fill in daily</t>
  </si>
  <si>
    <t>Material Name</t>
  </si>
  <si>
    <t>Current Stock (MT)</t>
  </si>
  <si>
    <t>Min Required (MT)</t>
  </si>
  <si>
    <t>Shortage (MT)</t>
  </si>
  <si>
    <t>FG Stock-Out Tracker  —  fill in daily</t>
  </si>
  <si>
    <t>Product</t>
  </si>
  <si>
    <t>Active Orders (MT)</t>
  </si>
  <si>
    <t>RGS FEEDS &amp; CO. — DAILY DATA ENTRY SHEET</t>
  </si>
  <si>
    <t>Fill in the yellow cells only (one row per day). The MD Dashboard updates automatically.</t>
  </si>
  <si>
    <t>MONTHLY SETUP</t>
  </si>
  <si>
    <t>Reporting Month</t>
  </si>
  <si>
    <t>Planned leave for month hrs</t>
  </si>
  <si>
    <t>Unit 1 — Planned Run Hours / Day</t>
  </si>
  <si>
    <t>Unit 2 — Planned Run Hours / Day</t>
  </si>
  <si>
    <t>Unit 1 — Production Target (MT)  [single overall target — not split by product]</t>
  </si>
  <si>
    <t>Unit 2 — Production Target (MT)</t>
  </si>
  <si>
    <t>Current FG Stock POULTRY (MT)</t>
  </si>
  <si>
    <t>Current FG Stock CATTLE (MT)</t>
  </si>
  <si>
    <t>Current RM Stock (MT)</t>
  </si>
  <si>
    <t>Note: OEE = Availability % = (Planned Run Hours − Downtime) ÷ Planned Run Hours. Targets are tracked as a single overall figure per unit (not split by product). Sales are tracked as one company total (not split by unit). Downtime is tracked by reason (Product Change / Die Change / Breakdown / Others), not as one lump figure. Purchase Orders are tracked as Mechanical or Spares.</t>
  </si>
  <si>
    <t>DAILY LOG — ONE ROW PER DAY (all units + utilities together)</t>
  </si>
  <si>
    <t>UNIT 1 — RGS POULTRY &amp; CATTLE (PRODUCTION, MT)</t>
  </si>
  <si>
    <t>UNIT 1 DOWNTIME BY REASON (Hrs)</t>
  </si>
  <si>
    <t>UNIT 2 DOWNTIME BY REASON (Hrs)</t>
  </si>
  <si>
    <t>SALES, EXPENSES &amp; PURCHASE ORDERS</t>
  </si>
  <si>
    <t>ELECTRICAL / POWER (kWh)</t>
  </si>
  <si>
    <t>Date</t>
  </si>
  <si>
    <t>RGS - Poultry
(MT)</t>
  </si>
  <si>
    <t>RGS - Cattle
(MT)</t>
  </si>
  <si>
    <t>KNC - Poultry
(MT)</t>
  </si>
  <si>
    <t>KNC - Cattle
(MT)</t>
  </si>
  <si>
    <t>SAF
(MT)</t>
  </si>
  <si>
    <t>Others
(MT)</t>
  </si>
  <si>
    <t>Product Change
(Hrs)</t>
  </si>
  <si>
    <t>Die Change
(Hrs)</t>
  </si>
  <si>
    <t>Power Cut</t>
  </si>
  <si>
    <t>Breakdown
(Hrs)</t>
  </si>
  <si>
    <t>Others
(Hrs)</t>
  </si>
  <si>
    <t>RGS (MT)</t>
  </si>
  <si>
    <t>SAF (MT)</t>
  </si>
  <si>
    <t>Total Sales
(₹)</t>
  </si>
  <si>
    <t>Office Expense
(₹)</t>
  </si>
  <si>
    <t>PO - Mechanical
(Count)</t>
  </si>
  <si>
    <t>PO - RM
(Count)</t>
  </si>
  <si>
    <t>Solar Units
(kWh)</t>
  </si>
  <si>
    <t>EB Units
(kWh)</t>
  </si>
  <si>
    <t>Grid Units
(kWh)</t>
  </si>
  <si>
    <t>total</t>
  </si>
  <si>
    <t>RGS Feeds &amp; Co.  |  Own Fleet — Live Status</t>
  </si>
  <si>
    <t>Live status of the 3 company-owned vehicles.</t>
  </si>
  <si>
    <t>OWN FLEET — LIVE STATUS (3 Company Vehicles)</t>
  </si>
  <si>
    <t>Driver Name</t>
  </si>
  <si>
    <t>Driver Phone</t>
  </si>
  <si>
    <t>Last Updated</t>
  </si>
  <si>
    <t>Remarks</t>
  </si>
  <si>
    <t>Idle</t>
  </si>
  <si>
    <t>Unloading</t>
  </si>
  <si>
    <t>Fleet Status Overview</t>
  </si>
  <si>
    <t>Vehicle Count</t>
  </si>
  <si>
    <t>In-Transit</t>
  </si>
  <si>
    <t>Loading</t>
  </si>
  <si>
    <t>RGS Feeds &amp; Co.  |  Finished Goods (FG) Dispatch Log</t>
  </si>
  <si>
    <t>One row per day — vehicles and tons dispatched, company-wise.</t>
  </si>
  <si>
    <t>Total
Vehicles</t>
  </si>
  <si>
    <t>Total Dispatched
(MT)</t>
  </si>
  <si>
    <t>Vehicles count</t>
  </si>
  <si>
    <t>Dispatched
(MT)</t>
  </si>
  <si>
    <t>Blue text = cells to fill in daily; Total columns auto-calculate</t>
  </si>
  <si>
    <t>MONTH TOTAL</t>
  </si>
  <si>
    <t>RGS Feeds &amp; Co.  |  Raw Material (RM) Receipt Log</t>
  </si>
  <si>
    <t>One row per day — vehicles and tons received, company-wise.</t>
  </si>
  <si>
    <t>Total Received
(MT)</t>
  </si>
  <si>
    <t>Vehicles</t>
  </si>
  <si>
    <t>Received
(MT)</t>
  </si>
  <si>
    <t xml:space="preserve"> Fill in daily</t>
  </si>
  <si>
    <t xml:space="preserve">Total Poultry stock </t>
  </si>
  <si>
    <t xml:space="preserve">Total Cattle Stock </t>
  </si>
  <si>
    <t>RGS Poultry</t>
  </si>
  <si>
    <t>RGS Cattle</t>
  </si>
  <si>
    <t>Total RGS RM stock</t>
  </si>
  <si>
    <t xml:space="preserve"> Required (MT)</t>
  </si>
  <si>
    <t>TN86E6607</t>
  </si>
  <si>
    <t>AIUBHKHAN</t>
  </si>
  <si>
    <t>PERUDURAI</t>
  </si>
  <si>
    <t>TN33BZ2067</t>
  </si>
  <si>
    <t>KAPOOR</t>
  </si>
  <si>
    <t>TN33CA9311</t>
  </si>
  <si>
    <t>RAMALINGAM</t>
  </si>
  <si>
    <t>Mechanical Expencess</t>
  </si>
  <si>
    <t>FG Poultry(Mt)</t>
  </si>
  <si>
    <t>FG Cattle(Mt)</t>
  </si>
  <si>
    <t>Remark</t>
  </si>
  <si>
    <t>POWER CONSUMPTION</t>
  </si>
  <si>
    <t>RETURN TO COMPANY</t>
  </si>
  <si>
    <t>KARAIKAL LINE</t>
  </si>
  <si>
    <r>
      <t>Maize</t>
    </r>
    <r>
      <rPr>
        <sz val="11"/>
        <color theme="1"/>
        <rFont val="Calibri"/>
        <family val="2"/>
        <charset val="1"/>
      </rPr>
      <t xml:space="preserve"> </t>
    </r>
  </si>
  <si>
    <r>
      <t>Maize Bran</t>
    </r>
    <r>
      <rPr>
        <sz val="11"/>
        <color theme="1"/>
        <rFont val="Calibri"/>
        <family val="2"/>
        <charset val="1"/>
      </rPr>
      <t xml:space="preserve"> </t>
    </r>
  </si>
  <si>
    <r>
      <t>Maize Doc</t>
    </r>
    <r>
      <rPr>
        <sz val="11"/>
        <color theme="1"/>
        <rFont val="Calibri"/>
        <family val="2"/>
        <charset val="1"/>
      </rPr>
      <t xml:space="preserve"> </t>
    </r>
  </si>
  <si>
    <r>
      <t>Maize DDGS</t>
    </r>
    <r>
      <rPr>
        <sz val="11"/>
        <color theme="1"/>
        <rFont val="Calibri"/>
        <family val="2"/>
        <charset val="1"/>
      </rPr>
      <t xml:space="preserve"> </t>
    </r>
  </si>
  <si>
    <r>
      <t>Rapeseed Ext</t>
    </r>
    <r>
      <rPr>
        <sz val="11"/>
        <color theme="1"/>
        <rFont val="Calibri"/>
        <family val="2"/>
        <charset val="1"/>
      </rPr>
      <t xml:space="preserve"> </t>
    </r>
  </si>
  <si>
    <r>
      <t>Rice DDGS</t>
    </r>
    <r>
      <rPr>
        <sz val="11"/>
        <color theme="1"/>
        <rFont val="Calibri"/>
        <family val="2"/>
        <charset val="1"/>
      </rPr>
      <t xml:space="preserve"> </t>
    </r>
  </si>
  <si>
    <r>
      <t>Silky Bran</t>
    </r>
    <r>
      <rPr>
        <sz val="11"/>
        <color theme="1"/>
        <rFont val="Calibri"/>
        <family val="2"/>
        <charset val="1"/>
      </rPr>
      <t xml:space="preserve"> </t>
    </r>
  </si>
  <si>
    <r>
      <t>Masoor Dust</t>
    </r>
    <r>
      <rPr>
        <sz val="11"/>
        <color theme="1"/>
        <rFont val="Calibri"/>
        <family val="2"/>
        <charset val="1"/>
      </rPr>
      <t xml:space="preserve"> </t>
    </r>
  </si>
  <si>
    <r>
      <t>DORB Nice</t>
    </r>
    <r>
      <rPr>
        <sz val="11"/>
        <color theme="1"/>
        <rFont val="Calibri"/>
        <family val="2"/>
        <charset val="1"/>
      </rPr>
      <t xml:space="preserve"> </t>
    </r>
  </si>
  <si>
    <r>
      <t>LORB Nice</t>
    </r>
    <r>
      <rPr>
        <sz val="11"/>
        <color theme="1"/>
        <rFont val="Calibri"/>
        <family val="2"/>
        <charset val="1"/>
      </rPr>
      <t xml:space="preserve"> </t>
    </r>
  </si>
  <si>
    <r>
      <t>Cattle Feed CHOW</t>
    </r>
    <r>
      <rPr>
        <sz val="11"/>
        <color theme="1"/>
        <rFont val="Calibri"/>
        <family val="2"/>
        <charset val="1"/>
      </rPr>
      <t xml:space="preserve"> </t>
    </r>
  </si>
  <si>
    <r>
      <t>Coffee Husk</t>
    </r>
    <r>
      <rPr>
        <sz val="11"/>
        <color theme="1"/>
        <rFont val="Calibri"/>
        <family val="2"/>
        <charset val="1"/>
      </rPr>
      <t xml:space="preserve"> </t>
    </r>
  </si>
  <si>
    <t>Powder Salt</t>
  </si>
  <si>
    <t>Minerals (NPN)</t>
  </si>
  <si>
    <r>
      <t>MBM</t>
    </r>
    <r>
      <rPr>
        <sz val="11"/>
        <color theme="1"/>
        <rFont val="Calibri"/>
        <family val="2"/>
        <charset val="1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</si>
</sst>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"/>
    <numFmt numFmtId="165" formatCode="0.0%"/>
    <numFmt numFmtId="166" formatCode="dd\-mmm\-yyyy"/>
  </numFmts>
  <fonts count="47" x14ac:knownFonts="1">
    <font>
      <sz val="11"/>
      <color theme="1"/>
      <name val="Calibri"/>
      <family val="2"/>
      <charset val="1"/>
    </font>
    <font>
      <b/>
      <sz val="20"/>
      <color rgb="FF1F3864"/>
      <name val="Calibri"/>
      <family val="2"/>
      <charset val="1"/>
    </font>
    <font>
      <b/>
      <sz val="13"/>
      <color rgb="FF2E5395"/>
      <name val="Calibri"/>
      <family val="2"/>
      <charset val="1"/>
    </font>
    <font>
      <b/>
      <sz val="14"/>
      <color rgb="FF666666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8"/>
      <color rgb="FF595959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4"/>
      <color rgb="FF1E7B45"/>
      <name val="Calibri"/>
      <family val="2"/>
      <charset val="1"/>
    </font>
    <font>
      <b/>
      <sz val="14"/>
      <color rgb="FF5B2C6F"/>
      <name val="Calibri"/>
      <family val="2"/>
      <charset val="1"/>
    </font>
    <font>
      <b/>
      <sz val="9"/>
      <color rgb="FF595959"/>
      <name val="Calibri"/>
      <family val="2"/>
      <charset val="1"/>
    </font>
    <font>
      <b/>
      <sz val="9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10"/>
      <name val="Calibri"/>
      <family val="2"/>
      <charset val="1"/>
    </font>
    <font>
      <sz val="11"/>
      <name val="Calibri"/>
      <family val="2"/>
      <charset val="1"/>
    </font>
    <font>
      <b/>
      <sz val="10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6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20"/>
      <color rgb="FF1F3864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0"/>
      <color rgb="FF1F3864"/>
      <name val="Arial"/>
      <family val="2"/>
      <charset val="1"/>
    </font>
    <font>
      <b/>
      <sz val="12"/>
      <color rgb="FFC00000"/>
      <name val="Arial"/>
      <family val="2"/>
      <charset val="1"/>
    </font>
    <font>
      <b/>
      <sz val="10"/>
      <color rgb="FF666666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0000FF"/>
      <name val="Arial"/>
      <family val="2"/>
      <charset val="1"/>
    </font>
    <font>
      <b/>
      <sz val="18"/>
      <color rgb="FF1F3864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color rgb="FF333333"/>
      <name val="Calibri"/>
      <family val="2"/>
      <charset val="1"/>
    </font>
    <font>
      <i/>
      <sz val="9"/>
      <color rgb="FF666666"/>
      <name val="Calibri"/>
      <family val="2"/>
      <charset val="1"/>
    </font>
    <font>
      <sz val="11"/>
      <name val="Arial"/>
      <family val="2"/>
      <charset val="1"/>
    </font>
    <font>
      <b/>
      <sz val="12"/>
      <color rgb="FFFFFFFF"/>
      <name val="Arial"/>
      <family val="2"/>
      <charset val="1"/>
    </font>
    <font>
      <sz val="11"/>
      <color rgb="FF0000FF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595959"/>
      <name val="Arial"/>
      <family val="2"/>
    </font>
    <font>
      <b/>
      <sz val="11"/>
      <color theme="1"/>
      <name val="Calibri"/>
      <family val="2"/>
    </font>
    <font>
      <b/>
      <sz val="8"/>
      <color rgb="FF595959"/>
      <name val="Calibri"/>
      <family val="2"/>
    </font>
    <font>
      <b/>
      <sz val="20"/>
      <color rgb="FF1F3864"/>
      <name val="Arial"/>
      <family val="2"/>
    </font>
    <font>
      <b/>
      <sz val="8"/>
      <color rgb="FFFF0000"/>
      <name val="Calibri"/>
      <family val="2"/>
      <charset val="1"/>
    </font>
    <font>
      <b/>
      <sz val="14"/>
      <color rgb="FFFF0000"/>
      <name val="Calibri"/>
      <family val="2"/>
      <charset val="1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2E5395"/>
        <bgColor rgb="FF44546A"/>
      </patternFill>
    </fill>
    <fill>
      <patternFill patternType="solid">
        <fgColor rgb="FFDCE6F1"/>
        <bgColor rgb="FFEAE1F5"/>
      </patternFill>
    </fill>
    <fill>
      <patternFill patternType="solid">
        <fgColor rgb="FFE2F0D9"/>
        <bgColor rgb="FFDCE6F1"/>
      </patternFill>
    </fill>
    <fill>
      <patternFill patternType="solid">
        <fgColor rgb="FF44546A"/>
        <bgColor rgb="FF595959"/>
      </patternFill>
    </fill>
    <fill>
      <patternFill patternType="solid">
        <fgColor rgb="FF8B3A3A"/>
        <bgColor rgb="FF993366"/>
      </patternFill>
    </fill>
    <fill>
      <patternFill patternType="solid">
        <fgColor rgb="FFA0522D"/>
        <bgColor rgb="FF8B3A3A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F0D9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B2C6F"/>
        <bgColor rgb="FF333333"/>
      </patternFill>
    </fill>
    <fill>
      <patternFill patternType="solid">
        <fgColor rgb="FF0F6B72"/>
        <bgColor rgb="FF1E7B45"/>
      </patternFill>
    </fill>
    <fill>
      <patternFill patternType="solid">
        <fgColor rgb="FF1E7B45"/>
        <bgColor rgb="FF0F6B72"/>
      </patternFill>
    </fill>
    <fill>
      <patternFill patternType="solid">
        <fgColor theme="2" tint="-9.9978637043366805E-2"/>
        <bgColor rgb="FFDCE6F1"/>
      </patternFill>
    </fill>
    <fill>
      <patternFill patternType="solid">
        <fgColor theme="0"/>
        <bgColor rgb="FFDCE6F1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Alignment="1"/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10" fillId="0" borderId="0" xfId="0" applyFont="1" applyAlignment="1"/>
    <xf numFmtId="3" fontId="0" fillId="0" borderId="0" xfId="0" applyNumberFormat="1" applyAlignment="1"/>
    <xf numFmtId="0" fontId="11" fillId="5" borderId="1" xfId="0" applyFont="1" applyFill="1" applyBorder="1" applyAlignment="1">
      <alignment horizontal="center" vertical="center"/>
    </xf>
    <xf numFmtId="0" fontId="12" fillId="0" borderId="0" xfId="0" applyFont="1" applyAlignment="1"/>
    <xf numFmtId="164" fontId="13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4" fillId="3" borderId="0" xfId="0" applyFont="1" applyFill="1" applyAlignment="1"/>
    <xf numFmtId="164" fontId="14" fillId="3" borderId="0" xfId="0" applyNumberFormat="1" applyFont="1" applyFill="1" applyAlignment="1">
      <alignment horizontal="center" vertical="center"/>
    </xf>
    <xf numFmtId="165" fontId="14" fillId="3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8" borderId="0" xfId="0" applyFill="1" applyAlignment="1"/>
    <xf numFmtId="0" fontId="18" fillId="8" borderId="0" xfId="0" applyFont="1" applyFill="1" applyAlignment="1"/>
    <xf numFmtId="166" fontId="18" fillId="8" borderId="0" xfId="0" applyNumberFormat="1" applyFont="1" applyFill="1" applyAlignment="1"/>
    <xf numFmtId="0" fontId="20" fillId="0" borderId="0" xfId="0" applyFont="1" applyAlignment="1"/>
    <xf numFmtId="0" fontId="18" fillId="8" borderId="0" xfId="0" applyFont="1" applyFill="1" applyAlignment="1">
      <alignment horizontal="center" vertical="center" wrapText="1"/>
    </xf>
    <xf numFmtId="0" fontId="21" fillId="0" borderId="0" xfId="0" applyFont="1" applyAlignment="1"/>
    <xf numFmtId="164" fontId="0" fillId="0" borderId="0" xfId="0" applyNumberFormat="1" applyAlignment="1"/>
    <xf numFmtId="0" fontId="22" fillId="0" borderId="0" xfId="0" applyFont="1" applyAlignment="1"/>
    <xf numFmtId="0" fontId="23" fillId="0" borderId="0" xfId="0" applyFont="1" applyAlignment="1"/>
    <xf numFmtId="0" fontId="24" fillId="0" borderId="0" xfId="0" applyFont="1" applyAlignment="1"/>
    <xf numFmtId="0" fontId="25" fillId="0" borderId="0" xfId="0" applyFont="1" applyAlignment="1"/>
    <xf numFmtId="0" fontId="25" fillId="9" borderId="0" xfId="0" applyFont="1" applyFill="1" applyAlignment="1"/>
    <xf numFmtId="0" fontId="4" fillId="2" borderId="0" xfId="0" applyFont="1" applyFill="1" applyAlignment="1">
      <alignment horizontal="left" vertical="center"/>
    </xf>
    <xf numFmtId="17" fontId="12" fillId="11" borderId="2" xfId="0" applyNumberFormat="1" applyFont="1" applyFill="1" applyBorder="1" applyAlignment="1">
      <alignment horizontal="center" vertical="center"/>
    </xf>
    <xf numFmtId="0" fontId="28" fillId="0" borderId="0" xfId="0" applyFont="1" applyAlignment="1"/>
    <xf numFmtId="0" fontId="12" fillId="11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 wrapText="1"/>
    </xf>
    <xf numFmtId="166" fontId="12" fillId="11" borderId="4" xfId="0" applyNumberFormat="1" applyFont="1" applyFill="1" applyBorder="1" applyAlignment="1">
      <alignment horizontal="center" vertical="center"/>
    </xf>
    <xf numFmtId="0" fontId="0" fillId="15" borderId="2" xfId="0" applyFill="1" applyBorder="1" applyAlignment="1"/>
    <xf numFmtId="0" fontId="0" fillId="0" borderId="2" xfId="0" applyFont="1" applyBorder="1" applyAlignment="1"/>
    <xf numFmtId="0" fontId="30" fillId="0" borderId="0" xfId="0" applyFont="1" applyAlignment="1"/>
    <xf numFmtId="0" fontId="32" fillId="0" borderId="2" xfId="0" applyFont="1" applyBorder="1" applyAlignment="1">
      <alignment horizontal="center"/>
    </xf>
    <xf numFmtId="0" fontId="21" fillId="0" borderId="2" xfId="0" applyFont="1" applyBorder="1" applyAlignment="1"/>
    <xf numFmtId="0" fontId="0" fillId="0" borderId="5" xfId="0" applyBorder="1" applyAlignment="1"/>
    <xf numFmtId="0" fontId="18" fillId="8" borderId="0" xfId="0" applyFont="1" applyFill="1" applyAlignment="1">
      <alignment horizontal="center"/>
    </xf>
    <xf numFmtId="1" fontId="33" fillId="0" borderId="0" xfId="0" applyNumberFormat="1" applyFont="1" applyAlignment="1"/>
    <xf numFmtId="15" fontId="34" fillId="0" borderId="6" xfId="0" applyNumberFormat="1" applyFont="1" applyBorder="1" applyAlignment="1">
      <alignment horizontal="left" vertical="center" wrapText="1" indent="1"/>
    </xf>
    <xf numFmtId="0" fontId="35" fillId="0" borderId="2" xfId="0" applyFont="1" applyBorder="1" applyAlignment="1">
      <alignment horizontal="left" vertical="center" wrapText="1" indent="1"/>
    </xf>
    <xf numFmtId="0" fontId="30" fillId="0" borderId="7" xfId="0" applyFont="1" applyBorder="1" applyAlignment="1"/>
    <xf numFmtId="1" fontId="32" fillId="0" borderId="8" xfId="0" applyNumberFormat="1" applyFont="1" applyBorder="1" applyAlignment="1">
      <alignment horizontal="center"/>
    </xf>
    <xf numFmtId="164" fontId="32" fillId="0" borderId="8" xfId="0" applyNumberFormat="1" applyFont="1" applyBorder="1" applyAlignment="1">
      <alignment horizontal="center"/>
    </xf>
    <xf numFmtId="0" fontId="30" fillId="0" borderId="9" xfId="0" applyFont="1" applyBorder="1" applyAlignment="1"/>
    <xf numFmtId="1" fontId="32" fillId="0" borderId="2" xfId="0" applyNumberFormat="1" applyFont="1" applyBorder="1" applyAlignment="1">
      <alignment horizontal="center"/>
    </xf>
    <xf numFmtId="164" fontId="32" fillId="0" borderId="2" xfId="0" applyNumberFormat="1" applyFont="1" applyBorder="1" applyAlignment="1">
      <alignment horizontal="center"/>
    </xf>
    <xf numFmtId="14" fontId="32" fillId="0" borderId="2" xfId="0" applyNumberFormat="1" applyFont="1" applyBorder="1" applyAlignment="1">
      <alignment horizontal="center"/>
    </xf>
    <xf numFmtId="1" fontId="33" fillId="0" borderId="2" xfId="0" applyNumberFormat="1" applyFont="1" applyBorder="1" applyAlignment="1"/>
    <xf numFmtId="164" fontId="33" fillId="0" borderId="2" xfId="0" applyNumberFormat="1" applyFont="1" applyBorder="1" applyAlignment="1"/>
    <xf numFmtId="0" fontId="30" fillId="0" borderId="2" xfId="0" applyFont="1" applyBorder="1" applyAlignment="1"/>
    <xf numFmtId="1" fontId="36" fillId="0" borderId="2" xfId="0" applyNumberFormat="1" applyFont="1" applyBorder="1" applyAlignment="1"/>
    <xf numFmtId="164" fontId="36" fillId="0" borderId="2" xfId="0" applyNumberFormat="1" applyFont="1" applyBorder="1" applyAlignment="1"/>
    <xf numFmtId="164" fontId="33" fillId="0" borderId="9" xfId="0" applyNumberFormat="1" applyFont="1" applyBorder="1" applyAlignment="1"/>
    <xf numFmtId="164" fontId="36" fillId="0" borderId="9" xfId="0" applyNumberFormat="1" applyFont="1" applyBorder="1" applyAlignment="1"/>
    <xf numFmtId="0" fontId="38" fillId="0" borderId="0" xfId="0" applyFont="1" applyBorder="1"/>
    <xf numFmtId="164" fontId="30" fillId="0" borderId="10" xfId="0" applyNumberFormat="1" applyFont="1" applyBorder="1" applyAlignment="1"/>
    <xf numFmtId="0" fontId="37" fillId="0" borderId="10" xfId="0" applyFont="1" applyBorder="1"/>
    <xf numFmtId="164" fontId="37" fillId="0" borderId="10" xfId="0" applyNumberFormat="1" applyFont="1" applyBorder="1"/>
    <xf numFmtId="0" fontId="39" fillId="0" borderId="9" xfId="0" applyFont="1" applyBorder="1" applyAlignment="1">
      <alignment horizontal="center" vertical="center"/>
    </xf>
    <xf numFmtId="0" fontId="41" fillId="0" borderId="0" xfId="0" applyFont="1" applyAlignment="1"/>
    <xf numFmtId="0" fontId="42" fillId="3" borderId="0" xfId="0" applyFont="1" applyFill="1" applyAlignment="1">
      <alignment horizontal="center" vertical="center"/>
    </xf>
    <xf numFmtId="0" fontId="41" fillId="0" borderId="0" xfId="0" applyFont="1"/>
    <xf numFmtId="0" fontId="9" fillId="3" borderId="0" xfId="0" applyFont="1" applyFill="1" applyBorder="1" applyAlignment="1">
      <alignment vertical="center"/>
    </xf>
    <xf numFmtId="164" fontId="6" fillId="3" borderId="0" xfId="0" applyNumberFormat="1" applyFont="1" applyFill="1" applyBorder="1" applyAlignment="1">
      <alignment horizontal="left" vertical="center"/>
    </xf>
    <xf numFmtId="0" fontId="5" fillId="16" borderId="0" xfId="0" applyFont="1" applyFill="1" applyAlignment="1">
      <alignment horizontal="center" vertical="center"/>
    </xf>
    <xf numFmtId="3" fontId="7" fillId="16" borderId="0" xfId="0" applyNumberFormat="1" applyFont="1" applyFill="1" applyAlignment="1">
      <alignment horizontal="center" vertical="center"/>
    </xf>
    <xf numFmtId="0" fontId="15" fillId="7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164" fontId="6" fillId="3" borderId="0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0" fontId="5" fillId="4" borderId="0" xfId="0" applyFont="1" applyFill="1" applyBorder="1" applyAlignment="1">
      <alignment horizontal="center" vertical="center"/>
    </xf>
    <xf numFmtId="165" fontId="7" fillId="4" borderId="0" xfId="0" applyNumberFormat="1" applyFont="1" applyFill="1" applyBorder="1" applyAlignment="1">
      <alignment horizontal="center" vertical="center"/>
    </xf>
    <xf numFmtId="0" fontId="15" fillId="6" borderId="0" xfId="0" applyFont="1" applyFill="1" applyBorder="1" applyAlignment="1">
      <alignment horizontal="left" vertical="center"/>
    </xf>
    <xf numFmtId="0" fontId="44" fillId="16" borderId="0" xfId="0" applyFont="1" applyFill="1" applyBorder="1" applyAlignment="1">
      <alignment horizontal="center" vertical="center"/>
    </xf>
    <xf numFmtId="165" fontId="45" fillId="16" borderId="0" xfId="0" applyNumberFormat="1" applyFont="1" applyFill="1" applyBorder="1" applyAlignment="1">
      <alignment horizontal="center" vertical="center"/>
    </xf>
    <xf numFmtId="3" fontId="6" fillId="3" borderId="0" xfId="0" applyNumberFormat="1" applyFont="1" applyFill="1" applyBorder="1" applyAlignment="1">
      <alignment horizontal="center" vertical="center"/>
    </xf>
    <xf numFmtId="3" fontId="7" fillId="16" borderId="0" xfId="0" applyNumberFormat="1" applyFont="1" applyFill="1" applyBorder="1" applyAlignment="1">
      <alignment horizontal="center" vertical="center"/>
    </xf>
    <xf numFmtId="0" fontId="5" fillId="16" borderId="0" xfId="0" applyFont="1" applyFill="1" applyBorder="1" applyAlignment="1">
      <alignment horizontal="center" vertical="center"/>
    </xf>
    <xf numFmtId="165" fontId="8" fillId="16" borderId="0" xfId="0" applyNumberFormat="1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1" fillId="0" borderId="0" xfId="0" applyFont="1" applyBorder="1" applyAlignment="1"/>
    <xf numFmtId="0" fontId="2" fillId="0" borderId="0" xfId="0" applyFont="1" applyBorder="1" applyAlignment="1"/>
    <xf numFmtId="17" fontId="3" fillId="0" borderId="0" xfId="0" applyNumberFormat="1" applyFont="1" applyBorder="1" applyAlignment="1">
      <alignment horizontal="left"/>
    </xf>
    <xf numFmtId="0" fontId="42" fillId="3" borderId="0" xfId="0" applyFont="1" applyFill="1" applyBorder="1" applyAlignment="1">
      <alignment horizontal="center" vertical="center"/>
    </xf>
    <xf numFmtId="0" fontId="42" fillId="4" borderId="0" xfId="0" applyFont="1" applyFill="1" applyBorder="1" applyAlignment="1">
      <alignment horizontal="center" vertical="center"/>
    </xf>
    <xf numFmtId="0" fontId="19" fillId="10" borderId="0" xfId="0" applyFont="1" applyFill="1" applyBorder="1" applyAlignment="1">
      <alignment horizontal="center"/>
    </xf>
    <xf numFmtId="0" fontId="43" fillId="10" borderId="0" xfId="0" applyFont="1" applyFill="1" applyBorder="1" applyAlignment="1">
      <alignment horizontal="center"/>
    </xf>
    <xf numFmtId="1" fontId="19" fillId="10" borderId="0" xfId="0" applyNumberFormat="1" applyFont="1" applyFill="1" applyBorder="1" applyAlignment="1">
      <alignment horizontal="center"/>
    </xf>
    <xf numFmtId="0" fontId="40" fillId="9" borderId="0" xfId="0" applyFont="1" applyFill="1" applyBorder="1" applyAlignment="1">
      <alignment horizontal="center"/>
    </xf>
    <xf numFmtId="0" fontId="16" fillId="8" borderId="0" xfId="0" applyFont="1" applyFill="1" applyBorder="1" applyAlignment="1">
      <alignment horizontal="left" vertical="center"/>
    </xf>
    <xf numFmtId="0" fontId="17" fillId="8" borderId="0" xfId="0" applyFont="1" applyFill="1" applyBorder="1" applyAlignment="1">
      <alignment horizontal="left" vertical="center"/>
    </xf>
    <xf numFmtId="0" fontId="28" fillId="0" borderId="0" xfId="0" applyFont="1" applyBorder="1" applyAlignment="1"/>
    <xf numFmtId="0" fontId="29" fillId="0" borderId="0" xfId="0" applyFont="1" applyBorder="1" applyAlignment="1"/>
    <xf numFmtId="0" fontId="11" fillId="8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26" fillId="0" borderId="0" xfId="0" applyFont="1" applyBorder="1" applyAlignment="1"/>
    <xf numFmtId="0" fontId="27" fillId="0" borderId="0" xfId="0" applyFont="1" applyBorder="1" applyAlignment="1"/>
    <xf numFmtId="0" fontId="31" fillId="8" borderId="0" xfId="0" applyFont="1" applyFill="1" applyBorder="1" applyAlignment="1">
      <alignment horizontal="left" vertical="center"/>
    </xf>
    <xf numFmtId="0" fontId="18" fillId="8" borderId="0" xfId="0" applyFont="1" applyFill="1" applyBorder="1" applyAlignment="1">
      <alignment horizontal="center" vertical="center" wrapText="1"/>
    </xf>
    <xf numFmtId="0" fontId="37" fillId="0" borderId="11" xfId="0" applyFont="1" applyBorder="1" applyAlignment="1">
      <alignment horizontal="center"/>
    </xf>
    <xf numFmtId="0" fontId="37" fillId="0" borderId="0" xfId="0" applyFont="1" applyBorder="1" applyAlignment="1">
      <alignment horizontal="center"/>
    </xf>
    <xf numFmtId="0" fontId="37" fillId="0" borderId="12" xfId="0" applyFont="1" applyBorder="1" applyAlignment="1">
      <alignment horizontal="center"/>
    </xf>
    <xf numFmtId="0" fontId="4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B72"/>
      <rgbColor rgb="FFBFBFBF"/>
      <rgbColor rgb="FF595959"/>
      <rgbColor rgb="FF9999FF"/>
      <rgbColor rgb="FF8B3A3A"/>
      <rgbColor rgb="FFFFF2CC"/>
      <rgbColor rgb="FFDCE6F1"/>
      <rgbColor rgb="FF5B2C6F"/>
      <rgbColor rgb="FFFF8080"/>
      <rgbColor rgb="FF0066CC"/>
      <rgbColor rgb="FFC4C7C5"/>
      <rgbColor rgb="FF000080"/>
      <rgbColor rgb="FFFF00FF"/>
      <rgbColor rgb="FFFFFF00"/>
      <rgbColor rgb="FF00FFFF"/>
      <rgbColor rgb="FF800080"/>
      <rgbColor rgb="FF800000"/>
      <rgbColor rgb="FF1E7B45"/>
      <rgbColor rgb="FF0000FF"/>
      <rgbColor rgb="FF00CCFF"/>
      <rgbColor rgb="FFF2F2F2"/>
      <rgbColor rgb="FFE2F0D9"/>
      <rgbColor rgb="FFEAE1F5"/>
      <rgbColor rgb="FF99CCFF"/>
      <rgbColor rgb="FFFF99CC"/>
      <rgbColor rgb="FFCC99FF"/>
      <rgbColor rgb="FFDDD9C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44546A"/>
      <rgbColor rgb="FFA0522D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752400</xdr:colOff>
      <xdr:row>0</xdr:row>
      <xdr:rowOff>0</xdr:rowOff>
    </xdr:from>
    <xdr:to>
      <xdr:col>11</xdr:col>
      <xdr:colOff>732600</xdr:colOff>
      <xdr:row>4</xdr:row>
      <xdr:rowOff>151560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/>
      </xdr:blipFill>
      <xdr:spPr>
        <a:xfrm>
          <a:off x="9230400" y="0"/>
          <a:ext cx="1671840" cy="1085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69"/>
  <sheetViews>
    <sheetView showGridLines="0" tabSelected="1" zoomScaleNormal="100" workbookViewId="0">
      <selection activeCell="F23" sqref="F23"/>
    </sheetView>
  </sheetViews>
  <sheetFormatPr defaultColWidth="8.7109375" defaultRowHeight="15" x14ac:dyDescent="0.25"/>
  <cols>
    <col min="1" max="1" width="3" style="1" customWidth="1"/>
    <col min="2" max="2" width="22.28515625" style="1" customWidth="1"/>
    <col min="3" max="3" width="12" style="1" customWidth="1"/>
    <col min="4" max="4" width="16.85546875" style="1" customWidth="1"/>
    <col min="5" max="5" width="18.140625" style="1" customWidth="1"/>
    <col min="6" max="12" width="12" style="1" customWidth="1"/>
    <col min="14" max="15" width="8" style="1" customWidth="1"/>
  </cols>
  <sheetData>
    <row r="2" spans="1:15" ht="26.25" customHeight="1" x14ac:dyDescent="0.4">
      <c r="B2" s="83" t="s">
        <v>0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</row>
    <row r="3" spans="1:15" ht="17.25" customHeight="1" x14ac:dyDescent="0.3">
      <c r="B3" s="84" t="s">
        <v>1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</row>
    <row r="4" spans="1:15" ht="15" customHeight="1" x14ac:dyDescent="0.3">
      <c r="B4" s="85">
        <f>'Data Entry Sheet'!$F$5</f>
        <v>46235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</row>
    <row r="6" spans="1:15" ht="15.75" customHeight="1" x14ac:dyDescent="0.25">
      <c r="B6" s="72" t="s">
        <v>2</v>
      </c>
      <c r="C6" s="72"/>
      <c r="D6" s="72"/>
      <c r="E6" s="72"/>
      <c r="F6" s="72"/>
      <c r="G6" s="72"/>
      <c r="H6" s="72"/>
      <c r="I6" s="72"/>
      <c r="J6" s="72"/>
      <c r="K6" s="72"/>
      <c r="L6" s="72"/>
    </row>
    <row r="8" spans="1:15" s="64" customFormat="1" ht="15" customHeight="1" x14ac:dyDescent="0.25">
      <c r="A8" s="62"/>
      <c r="B8" s="86" t="s">
        <v>3</v>
      </c>
      <c r="C8" s="86"/>
      <c r="D8" s="63" t="s">
        <v>4</v>
      </c>
      <c r="E8" s="86" t="s">
        <v>5</v>
      </c>
      <c r="F8" s="86"/>
      <c r="G8" s="87" t="s">
        <v>6</v>
      </c>
      <c r="H8" s="87"/>
      <c r="I8" s="86" t="s">
        <v>7</v>
      </c>
      <c r="J8" s="86"/>
      <c r="K8" s="86" t="s">
        <v>8</v>
      </c>
      <c r="L8" s="86"/>
      <c r="N8" s="62"/>
      <c r="O8" s="62"/>
    </row>
    <row r="9" spans="1:15" ht="18.75" customHeight="1" x14ac:dyDescent="0.25">
      <c r="B9" s="71">
        <f>C38+E58</f>
        <v>2837.6849999999999</v>
      </c>
      <c r="C9" s="71"/>
      <c r="D9" s="3">
        <f>'Data Entry Sheet'!F6</f>
        <v>24</v>
      </c>
      <c r="E9" s="71">
        <f>'Data Entry Sheet'!$F$9+'Data Entry Sheet'!$F$10</f>
        <v>9200</v>
      </c>
      <c r="F9" s="71"/>
      <c r="G9" s="74">
        <f>IFERROR(B9/E9,0)</f>
        <v>0.30844402173913044</v>
      </c>
      <c r="H9" s="74"/>
      <c r="I9" s="71">
        <f>SUM('Data Entry Sheet'!$S$19:$S$49)</f>
        <v>0</v>
      </c>
      <c r="J9" s="71"/>
      <c r="K9" s="71">
        <f>'Data Entry Sheet'!I52</f>
        <v>38.166666666666664</v>
      </c>
      <c r="L9" s="71"/>
    </row>
    <row r="10" spans="1:15" hidden="1" x14ac:dyDescent="0.25"/>
    <row r="11" spans="1:15" ht="15" hidden="1" customHeight="1" x14ac:dyDescent="0.25">
      <c r="B11" s="80"/>
      <c r="C11" s="80"/>
      <c r="D11" s="80"/>
      <c r="E11" s="80"/>
    </row>
    <row r="12" spans="1:15" ht="18.75" hidden="1" customHeight="1" x14ac:dyDescent="0.25">
      <c r="B12" s="81"/>
      <c r="C12" s="81"/>
      <c r="D12" s="81"/>
      <c r="E12" s="81"/>
    </row>
    <row r="14" spans="1:15" ht="15.75" customHeight="1" x14ac:dyDescent="0.25">
      <c r="B14" s="72" t="s">
        <v>9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</row>
    <row r="16" spans="1:15" ht="15" customHeight="1" x14ac:dyDescent="0.25">
      <c r="B16" s="65" t="s">
        <v>10</v>
      </c>
      <c r="C16" s="82" t="s">
        <v>170</v>
      </c>
      <c r="D16" s="82"/>
      <c r="E16" s="82" t="s">
        <v>171</v>
      </c>
      <c r="F16" s="82"/>
      <c r="G16" s="82" t="s">
        <v>11</v>
      </c>
      <c r="H16" s="82"/>
      <c r="I16" s="82" t="s">
        <v>169</v>
      </c>
      <c r="J16" s="82"/>
      <c r="K16" s="82" t="s">
        <v>12</v>
      </c>
      <c r="L16" s="82"/>
    </row>
    <row r="17" spans="2:15" ht="18.75" customHeight="1" x14ac:dyDescent="0.25">
      <c r="B17" s="66">
        <f>'Data Entry Sheet'!F13</f>
        <v>1836.34</v>
      </c>
      <c r="C17" s="71">
        <v>189.69</v>
      </c>
      <c r="D17" s="71"/>
      <c r="E17" s="71">
        <v>697.86</v>
      </c>
      <c r="F17" s="71"/>
      <c r="G17" s="78">
        <f>SUM('Data Entry Sheet'!$T$19:$T$49)</f>
        <v>0</v>
      </c>
      <c r="H17" s="78"/>
      <c r="I17" s="78">
        <f>SUM('Data Entry Sheet'!$U$19:$U$49)</f>
        <v>3</v>
      </c>
      <c r="J17" s="78"/>
      <c r="K17" s="78">
        <f>SUM('Data Entry Sheet'!$V$19:$V$49)</f>
        <v>0</v>
      </c>
      <c r="L17" s="78"/>
    </row>
    <row r="18" spans="2:15" hidden="1" x14ac:dyDescent="0.25"/>
    <row r="19" spans="2:15" ht="15" hidden="1" customHeight="1" x14ac:dyDescent="0.25">
      <c r="B19" s="80"/>
      <c r="C19" s="80"/>
      <c r="D19" s="67"/>
    </row>
    <row r="20" spans="2:15" ht="18.75" hidden="1" customHeight="1" x14ac:dyDescent="0.25">
      <c r="B20" s="79"/>
      <c r="C20" s="79"/>
      <c r="D20" s="68"/>
    </row>
    <row r="22" spans="2:15" ht="15.75" customHeight="1" x14ac:dyDescent="0.25">
      <c r="B22" s="72" t="s">
        <v>173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4" spans="2:15" ht="15" customHeight="1" x14ac:dyDescent="0.25">
      <c r="B24" s="70" t="s">
        <v>13</v>
      </c>
      <c r="C24" s="70"/>
      <c r="D24" s="70"/>
      <c r="E24" s="70" t="s">
        <v>14</v>
      </c>
      <c r="F24" s="70"/>
      <c r="G24" s="70" t="s">
        <v>15</v>
      </c>
      <c r="H24" s="70"/>
      <c r="I24" s="70" t="s">
        <v>16</v>
      </c>
      <c r="J24" s="70"/>
      <c r="N24" s="5" t="s">
        <v>17</v>
      </c>
      <c r="O24" s="5" t="s">
        <v>18</v>
      </c>
    </row>
    <row r="25" spans="2:15" ht="18.75" customHeight="1" x14ac:dyDescent="0.25">
      <c r="B25" s="78">
        <f>SUM('Data Entry Sheet'!$W$19:$W$49)</f>
        <v>19477.600000000002</v>
      </c>
      <c r="C25" s="78"/>
      <c r="D25" s="78"/>
      <c r="E25" s="78">
        <f>SUM('Data Entry Sheet'!$X$19:$X$49)</f>
        <v>54160</v>
      </c>
      <c r="F25" s="78"/>
      <c r="G25" s="78">
        <f>SUM('Data Entry Sheet'!$Y$19:$Y$49)</f>
        <v>1280</v>
      </c>
      <c r="H25" s="78"/>
      <c r="I25" s="78">
        <f>B25+E25+G25</f>
        <v>74917.600000000006</v>
      </c>
      <c r="J25" s="78"/>
      <c r="N25" s="1" t="s">
        <v>19</v>
      </c>
      <c r="O25" s="6">
        <f>B25</f>
        <v>19477.600000000002</v>
      </c>
    </row>
    <row r="26" spans="2:15" ht="12" customHeight="1" x14ac:dyDescent="0.25">
      <c r="N26" s="1" t="s">
        <v>20</v>
      </c>
      <c r="O26" s="6">
        <f>E25</f>
        <v>54160</v>
      </c>
    </row>
    <row r="27" spans="2:15" ht="12" customHeight="1" x14ac:dyDescent="0.25">
      <c r="N27" s="1" t="s">
        <v>21</v>
      </c>
      <c r="O27" s="6">
        <f>G25</f>
        <v>1280</v>
      </c>
    </row>
    <row r="28" spans="2:15" ht="12" customHeight="1" x14ac:dyDescent="0.25"/>
    <row r="29" spans="2:15" ht="12" customHeight="1" x14ac:dyDescent="0.25"/>
    <row r="30" spans="2:15" ht="15.75" customHeight="1" x14ac:dyDescent="0.25">
      <c r="B30" s="72" t="s">
        <v>22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</row>
    <row r="32" spans="2:15" ht="15" customHeight="1" x14ac:dyDescent="0.25">
      <c r="B32" s="7" t="s">
        <v>23</v>
      </c>
      <c r="C32" s="7" t="s">
        <v>24</v>
      </c>
      <c r="D32" s="7"/>
      <c r="E32" s="7" t="s">
        <v>25</v>
      </c>
    </row>
    <row r="33" spans="2:8" ht="15" customHeight="1" x14ac:dyDescent="0.25">
      <c r="B33" s="8" t="s">
        <v>26</v>
      </c>
      <c r="C33" s="9">
        <f>'Data Entry Sheet'!B50</f>
        <v>259.95</v>
      </c>
      <c r="D33" s="9"/>
      <c r="E33" s="10">
        <f>IFERROR(C33/$C$38,0)</f>
        <v>9.1703310949893896E-2</v>
      </c>
    </row>
    <row r="34" spans="2:8" ht="15" customHeight="1" x14ac:dyDescent="0.25">
      <c r="B34" s="8" t="s">
        <v>27</v>
      </c>
      <c r="C34" s="9">
        <f>'Data Entry Sheet'!C50</f>
        <v>530.9</v>
      </c>
      <c r="D34" s="9"/>
      <c r="E34" s="10">
        <f>IFERROR(C34/$C$38,0)</f>
        <v>0.18728712361338209</v>
      </c>
    </row>
    <row r="35" spans="2:8" ht="15" customHeight="1" x14ac:dyDescent="0.25">
      <c r="B35" s="8" t="s">
        <v>28</v>
      </c>
      <c r="C35" s="9">
        <f>('Data Entry Sheet'!D50+'Data Entry Sheet'!E50)</f>
        <v>1383.35</v>
      </c>
      <c r="D35" s="9"/>
      <c r="E35" s="10">
        <f>IFERROR(C35/$C$38,0)</f>
        <v>0.488008367772786</v>
      </c>
    </row>
    <row r="36" spans="2:8" ht="15" customHeight="1" x14ac:dyDescent="0.25">
      <c r="B36" s="8" t="s">
        <v>29</v>
      </c>
      <c r="C36" s="9">
        <f>'Data Entry Sheet'!F50</f>
        <v>474.06</v>
      </c>
      <c r="D36" s="9"/>
      <c r="E36" s="10">
        <f>IFERROR(C36/$C$38,0)</f>
        <v>0.16723551294059127</v>
      </c>
    </row>
    <row r="37" spans="2:8" ht="15" customHeight="1" x14ac:dyDescent="0.25">
      <c r="B37" s="8" t="s">
        <v>30</v>
      </c>
      <c r="C37" s="9">
        <f>'Data Entry Sheet'!G50</f>
        <v>186.42500000000001</v>
      </c>
      <c r="D37" s="9"/>
      <c r="E37" s="10">
        <f>IFERROR(C37/$C$38,0)</f>
        <v>6.5765684723346693E-2</v>
      </c>
    </row>
    <row r="38" spans="2:8" ht="15" customHeight="1" x14ac:dyDescent="0.25">
      <c r="B38" s="11" t="s">
        <v>31</v>
      </c>
      <c r="C38" s="12">
        <f>SUM(C33:C37)</f>
        <v>2834.6849999999999</v>
      </c>
      <c r="D38" s="12"/>
      <c r="E38" s="13">
        <f>IFERROR(C38/C38,0)</f>
        <v>1</v>
      </c>
    </row>
    <row r="40" spans="2:8" ht="15" customHeight="1" x14ac:dyDescent="0.25">
      <c r="B40" s="70" t="s">
        <v>32</v>
      </c>
      <c r="C40" s="70"/>
      <c r="D40" s="2"/>
      <c r="E40" s="70" t="s">
        <v>33</v>
      </c>
      <c r="F40" s="70"/>
      <c r="G40" s="73" t="s">
        <v>34</v>
      </c>
      <c r="H40" s="73"/>
    </row>
    <row r="41" spans="2:8" ht="18.75" customHeight="1" x14ac:dyDescent="0.25">
      <c r="B41" s="71">
        <f>'Data Entry Sheet'!$F$9</f>
        <v>9000</v>
      </c>
      <c r="C41" s="71"/>
      <c r="D41" s="4"/>
      <c r="E41" s="71">
        <f>C38</f>
        <v>2834.6849999999999</v>
      </c>
      <c r="F41" s="71"/>
      <c r="G41" s="74">
        <f>IFERROR(E41/B41,0)</f>
        <v>0.31496499999999999</v>
      </c>
      <c r="H41" s="74"/>
    </row>
    <row r="43" spans="2:8" ht="15" customHeight="1" x14ac:dyDescent="0.25">
      <c r="B43" s="75" t="s">
        <v>35</v>
      </c>
      <c r="C43" s="75"/>
      <c r="D43" s="75"/>
      <c r="E43" s="75"/>
    </row>
    <row r="44" spans="2:8" ht="15" customHeight="1" x14ac:dyDescent="0.25">
      <c r="B44" s="7" t="s">
        <v>36</v>
      </c>
      <c r="C44" s="7" t="s">
        <v>37</v>
      </c>
      <c r="D44" s="14"/>
    </row>
    <row r="45" spans="2:8" ht="15" customHeight="1" x14ac:dyDescent="0.25">
      <c r="B45" s="8" t="s">
        <v>38</v>
      </c>
      <c r="C45" s="9">
        <f>SUM('Data Entry Sheet'!$H$19:$H$49)</f>
        <v>18.416666666666668</v>
      </c>
      <c r="D45" s="9"/>
    </row>
    <row r="46" spans="2:8" ht="15" customHeight="1" x14ac:dyDescent="0.25">
      <c r="B46" s="8" t="s">
        <v>39</v>
      </c>
      <c r="C46" s="9">
        <f>SUM('Data Entry Sheet'!$I$19:$I$49)</f>
        <v>3</v>
      </c>
      <c r="D46" s="9"/>
    </row>
    <row r="47" spans="2:8" ht="15" customHeight="1" x14ac:dyDescent="0.25">
      <c r="B47" s="8" t="s">
        <v>40</v>
      </c>
      <c r="C47" s="9">
        <f>SUM('Data Entry Sheet'!$K$19:$K$49)</f>
        <v>0</v>
      </c>
      <c r="D47" s="9"/>
    </row>
    <row r="48" spans="2:8" ht="15" customHeight="1" x14ac:dyDescent="0.25">
      <c r="B48" s="8" t="s">
        <v>30</v>
      </c>
      <c r="C48" s="9">
        <f>SUM('Data Entry Sheet'!$L$19:$L$49)</f>
        <v>13.916666666666666</v>
      </c>
      <c r="D48" s="9"/>
    </row>
    <row r="49" spans="2:12" ht="15" customHeight="1" x14ac:dyDescent="0.25">
      <c r="B49" s="11" t="s">
        <v>41</v>
      </c>
      <c r="C49" s="12">
        <f>C45+C46+C47+C48+SUM('Data Entry Sheet'!$J$19:$J$49)</f>
        <v>38.166666666666671</v>
      </c>
      <c r="D49" s="12"/>
    </row>
    <row r="51" spans="2:12" ht="15" customHeight="1" x14ac:dyDescent="0.25">
      <c r="B51" s="70" t="s">
        <v>42</v>
      </c>
      <c r="C51" s="70"/>
      <c r="D51" s="2"/>
      <c r="E51" s="76"/>
      <c r="F51" s="76"/>
    </row>
    <row r="52" spans="2:12" ht="18.75" customHeight="1" x14ac:dyDescent="0.25">
      <c r="B52" s="71">
        <f>K9</f>
        <v>38.166666666666664</v>
      </c>
      <c r="C52" s="71"/>
      <c r="D52" s="4"/>
      <c r="E52" s="77"/>
      <c r="F52" s="77"/>
    </row>
    <row r="55" spans="2:12" ht="15.75" customHeight="1" x14ac:dyDescent="0.25">
      <c r="B55" s="72" t="s">
        <v>43</v>
      </c>
      <c r="C55" s="72"/>
      <c r="D55" s="72"/>
      <c r="E55" s="72"/>
      <c r="F55" s="72"/>
      <c r="G55" s="72"/>
      <c r="H55" s="72"/>
      <c r="I55" s="72"/>
      <c r="J55" s="72"/>
      <c r="K55" s="72"/>
      <c r="L55" s="72"/>
    </row>
    <row r="57" spans="2:12" ht="15" customHeight="1" x14ac:dyDescent="0.25">
      <c r="B57" s="70" t="s">
        <v>44</v>
      </c>
      <c r="C57" s="70"/>
      <c r="D57" s="2"/>
      <c r="E57" s="70" t="s">
        <v>45</v>
      </c>
      <c r="F57" s="70"/>
      <c r="G57" s="73" t="s">
        <v>6</v>
      </c>
      <c r="H57" s="73"/>
    </row>
    <row r="58" spans="2:12" ht="18.75" customHeight="1" x14ac:dyDescent="0.25">
      <c r="B58" s="71">
        <f>'Data Entry Sheet'!$F$10</f>
        <v>200</v>
      </c>
      <c r="C58" s="71"/>
      <c r="D58" s="4"/>
      <c r="E58" s="71">
        <f>'Data Entry Sheet'!M50</f>
        <v>3</v>
      </c>
      <c r="F58" s="71"/>
      <c r="G58" s="74">
        <f>IFERROR(E58/B58,0)</f>
        <v>1.4999999999999999E-2</v>
      </c>
      <c r="H58" s="74"/>
    </row>
    <row r="60" spans="2:12" ht="15" customHeight="1" x14ac:dyDescent="0.25">
      <c r="B60" s="69" t="s">
        <v>46</v>
      </c>
      <c r="C60" s="69"/>
      <c r="D60" s="69"/>
      <c r="E60" s="69"/>
    </row>
    <row r="61" spans="2:12" ht="15" customHeight="1" x14ac:dyDescent="0.25">
      <c r="B61" s="7" t="s">
        <v>36</v>
      </c>
      <c r="C61" s="7" t="s">
        <v>37</v>
      </c>
      <c r="D61" s="14"/>
    </row>
    <row r="62" spans="2:12" ht="15" customHeight="1" x14ac:dyDescent="0.25">
      <c r="B62" s="8" t="s">
        <v>38</v>
      </c>
      <c r="C62" s="9">
        <f>SUM('Data Entry Sheet'!$O$19:$O$49)</f>
        <v>0</v>
      </c>
      <c r="D62" s="9"/>
    </row>
    <row r="63" spans="2:12" ht="15" customHeight="1" x14ac:dyDescent="0.25">
      <c r="B63" s="8" t="s">
        <v>39</v>
      </c>
      <c r="C63" s="9">
        <f>SUM('Data Entry Sheet'!$P$19:$P$49)</f>
        <v>0</v>
      </c>
      <c r="D63" s="9"/>
    </row>
    <row r="64" spans="2:12" ht="15" customHeight="1" x14ac:dyDescent="0.25">
      <c r="B64" s="8" t="s">
        <v>40</v>
      </c>
      <c r="C64" s="9">
        <f>SUM('Data Entry Sheet'!$Q$19:$Q$49)</f>
        <v>0</v>
      </c>
      <c r="D64" s="9"/>
    </row>
    <row r="65" spans="2:6" ht="15" customHeight="1" x14ac:dyDescent="0.25">
      <c r="B65" s="8" t="s">
        <v>30</v>
      </c>
      <c r="C65" s="9">
        <f>SUM('Data Entry Sheet'!$R$19:$R$49)</f>
        <v>0</v>
      </c>
      <c r="D65" s="9"/>
    </row>
    <row r="66" spans="2:6" ht="15" customHeight="1" x14ac:dyDescent="0.25">
      <c r="B66" s="11" t="s">
        <v>41</v>
      </c>
      <c r="C66" s="12">
        <f>SUM(C62:C65)</f>
        <v>0</v>
      </c>
      <c r="D66" s="12"/>
    </row>
    <row r="68" spans="2:6" ht="15" customHeight="1" x14ac:dyDescent="0.25">
      <c r="B68" s="70" t="s">
        <v>47</v>
      </c>
      <c r="C68" s="70"/>
      <c r="D68" s="2"/>
      <c r="E68" s="80"/>
      <c r="F68" s="80"/>
    </row>
    <row r="69" spans="2:6" ht="18.75" customHeight="1" x14ac:dyDescent="0.25">
      <c r="B69" s="71">
        <f>C66</f>
        <v>0</v>
      </c>
      <c r="C69" s="71"/>
      <c r="D69" s="4"/>
      <c r="E69" s="81"/>
      <c r="F69" s="81"/>
    </row>
  </sheetData>
  <mergeCells count="62">
    <mergeCell ref="B2:M2"/>
    <mergeCell ref="B3:M3"/>
    <mergeCell ref="B4:M4"/>
    <mergeCell ref="B6:L6"/>
    <mergeCell ref="B8:C8"/>
    <mergeCell ref="E8:F8"/>
    <mergeCell ref="G8:H8"/>
    <mergeCell ref="I8:J8"/>
    <mergeCell ref="K8:L8"/>
    <mergeCell ref="B9:C9"/>
    <mergeCell ref="E9:F9"/>
    <mergeCell ref="G9:H9"/>
    <mergeCell ref="I9:J9"/>
    <mergeCell ref="K9:L9"/>
    <mergeCell ref="B11:E11"/>
    <mergeCell ref="B12:E12"/>
    <mergeCell ref="B14:L14"/>
    <mergeCell ref="G16:H16"/>
    <mergeCell ref="I16:J16"/>
    <mergeCell ref="K16:L16"/>
    <mergeCell ref="C16:D16"/>
    <mergeCell ref="E16:F16"/>
    <mergeCell ref="G17:H17"/>
    <mergeCell ref="I17:J17"/>
    <mergeCell ref="K17:L17"/>
    <mergeCell ref="B19:C19"/>
    <mergeCell ref="C17:D17"/>
    <mergeCell ref="E17:F17"/>
    <mergeCell ref="B20:C20"/>
    <mergeCell ref="B22:L22"/>
    <mergeCell ref="B24:D24"/>
    <mergeCell ref="E24:F24"/>
    <mergeCell ref="G24:H24"/>
    <mergeCell ref="I24:J24"/>
    <mergeCell ref="B25:D25"/>
    <mergeCell ref="E25:F25"/>
    <mergeCell ref="G25:H25"/>
    <mergeCell ref="I25:J25"/>
    <mergeCell ref="B30:L30"/>
    <mergeCell ref="B40:C40"/>
    <mergeCell ref="E40:F40"/>
    <mergeCell ref="G40:H40"/>
    <mergeCell ref="B41:C41"/>
    <mergeCell ref="E41:F41"/>
    <mergeCell ref="G41:H41"/>
    <mergeCell ref="B43:E43"/>
    <mergeCell ref="B51:C51"/>
    <mergeCell ref="E51:F51"/>
    <mergeCell ref="B52:C52"/>
    <mergeCell ref="E52:F52"/>
    <mergeCell ref="B55:L55"/>
    <mergeCell ref="B57:C57"/>
    <mergeCell ref="E57:F57"/>
    <mergeCell ref="G57:H57"/>
    <mergeCell ref="B58:C58"/>
    <mergeCell ref="E58:F58"/>
    <mergeCell ref="G58:H58"/>
    <mergeCell ref="B60:E60"/>
    <mergeCell ref="B68:C68"/>
    <mergeCell ref="E68:F68"/>
    <mergeCell ref="B69:C69"/>
    <mergeCell ref="E69:F69"/>
  </mergeCells>
  <pageMargins left="0.75" right="0.75" top="1" bottom="1" header="0.511811023622047" footer="0.511811023622047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"/>
  <sheetViews>
    <sheetView showGridLines="0" topLeftCell="A48" zoomScale="85" zoomScaleNormal="85" workbookViewId="0">
      <selection activeCell="I63" sqref="I63"/>
    </sheetView>
  </sheetViews>
  <sheetFormatPr defaultColWidth="8.7109375" defaultRowHeight="15" x14ac:dyDescent="0.25"/>
  <cols>
    <col min="1" max="1" width="26" style="1" customWidth="1"/>
    <col min="2" max="2" width="17" style="1" customWidth="1"/>
    <col min="3" max="3" width="29.140625" style="1" customWidth="1"/>
    <col min="4" max="8" width="17" style="1" customWidth="1"/>
  </cols>
  <sheetData>
    <row r="1" spans="1:8" ht="25.5" customHeight="1" x14ac:dyDescent="0.25">
      <c r="A1" s="92" t="s">
        <v>48</v>
      </c>
      <c r="B1" s="92"/>
      <c r="C1" s="92"/>
      <c r="D1" s="92"/>
      <c r="E1" s="92"/>
      <c r="F1" s="92"/>
      <c r="G1" s="92"/>
      <c r="H1" s="92"/>
    </row>
    <row r="2" spans="1:8" ht="18" customHeight="1" x14ac:dyDescent="0.25">
      <c r="A2" s="93" t="s">
        <v>49</v>
      </c>
      <c r="B2" s="93"/>
      <c r="C2" s="93"/>
      <c r="D2" s="93"/>
      <c r="E2" s="93"/>
      <c r="F2" s="93"/>
      <c r="G2" s="93"/>
      <c r="H2" s="93"/>
    </row>
    <row r="3" spans="1:8" ht="19.5" customHeight="1" x14ac:dyDescent="0.25">
      <c r="A3" s="15"/>
      <c r="B3" s="15"/>
      <c r="C3" s="15"/>
      <c r="D3" s="15"/>
      <c r="E3" s="15"/>
      <c r="F3" s="16" t="s">
        <v>50</v>
      </c>
      <c r="G3" s="17">
        <v>46246</v>
      </c>
    </row>
    <row r="5" spans="1:8" ht="15" customHeight="1" x14ac:dyDescent="0.25">
      <c r="A5" s="91" t="s">
        <v>51</v>
      </c>
      <c r="B5" s="91"/>
      <c r="C5" s="91" t="s">
        <v>52</v>
      </c>
      <c r="D5" s="91"/>
      <c r="E5" s="91" t="s">
        <v>53</v>
      </c>
      <c r="F5" s="91"/>
      <c r="G5" s="91" t="s">
        <v>54</v>
      </c>
      <c r="H5" s="91"/>
    </row>
    <row r="6" spans="1:8" ht="30" customHeight="1" x14ac:dyDescent="0.4">
      <c r="A6" s="90">
        <f>'RM Sheet'!B71</f>
        <v>50</v>
      </c>
      <c r="B6" s="88"/>
      <c r="C6" s="90">
        <f>'FG Sheet'!B71+'FG Sheet'!D71</f>
        <v>83</v>
      </c>
      <c r="D6" s="88"/>
      <c r="E6" s="88">
        <f>'FG Sheet'!C71+'FG Sheet'!E71</f>
        <v>844.46</v>
      </c>
      <c r="F6" s="88"/>
      <c r="G6" s="88">
        <f>'RM Sheet'!C71</f>
        <v>1663.17</v>
      </c>
      <c r="H6" s="88"/>
    </row>
    <row r="9" spans="1:8" ht="21" customHeight="1" x14ac:dyDescent="0.25">
      <c r="A9" s="91" t="s">
        <v>55</v>
      </c>
      <c r="B9" s="91"/>
      <c r="C9" s="91" t="s">
        <v>56</v>
      </c>
      <c r="D9" s="91"/>
      <c r="E9" s="91" t="s">
        <v>57</v>
      </c>
      <c r="F9" s="91"/>
      <c r="G9" s="91" t="s">
        <v>58</v>
      </c>
      <c r="H9" s="91"/>
    </row>
    <row r="10" spans="1:8" ht="30" customHeight="1" x14ac:dyDescent="0.4">
      <c r="A10" s="88">
        <f>COUNTIF('Transport Sheet'!$E$7:$E$9,"In-Transit")</f>
        <v>2</v>
      </c>
      <c r="B10" s="88"/>
      <c r="C10" s="88">
        <f>COUNTIF('Transport Sheet'!$E$7:$E$9,"Idle")</f>
        <v>0</v>
      </c>
      <c r="D10" s="88"/>
      <c r="E10" s="88">
        <f>COUNTIF($E$41:$E$55,"SHORTAGE")</f>
        <v>15</v>
      </c>
      <c r="F10" s="88"/>
      <c r="G10" s="89">
        <f>COUNTIF(D59:D66,"STOCK OUT")</f>
        <v>0</v>
      </c>
      <c r="H10" s="89"/>
    </row>
    <row r="14" spans="1:8" ht="15.75" customHeight="1" x14ac:dyDescent="0.25">
      <c r="A14" s="18" t="s">
        <v>59</v>
      </c>
    </row>
    <row r="15" spans="1:8" ht="30" customHeight="1" x14ac:dyDescent="0.25">
      <c r="A15" s="19" t="s">
        <v>60</v>
      </c>
      <c r="B15" s="19" t="s">
        <v>61</v>
      </c>
      <c r="C15" s="19" t="s">
        <v>62</v>
      </c>
      <c r="D15" s="19" t="s">
        <v>63</v>
      </c>
      <c r="E15" s="19" t="s">
        <v>64</v>
      </c>
    </row>
    <row r="16" spans="1:8" ht="15" customHeight="1" x14ac:dyDescent="0.25">
      <c r="A16" s="20" t="s">
        <v>65</v>
      </c>
      <c r="B16" s="1">
        <f>SUM('RM Sheet'!B6:B67)</f>
        <v>50</v>
      </c>
      <c r="C16" s="1">
        <f>SUM('FG Sheet'!D6:D67)</f>
        <v>50</v>
      </c>
      <c r="D16" s="21">
        <f>SUM('FG Sheet'!E6:E67)</f>
        <v>525.76</v>
      </c>
      <c r="E16" s="21">
        <f>SUM('RM Sheet'!C6:C67)</f>
        <v>1663.17</v>
      </c>
    </row>
    <row r="17" spans="1:5" ht="15" customHeight="1" x14ac:dyDescent="0.25">
      <c r="A17" s="20" t="s">
        <v>28</v>
      </c>
      <c r="B17" s="1">
        <f>SUM('RM Sheet'!D6:D67)</f>
        <v>71</v>
      </c>
      <c r="C17" s="1">
        <f>SUM('FG Sheet'!F6:F67)</f>
        <v>31</v>
      </c>
      <c r="D17" s="21">
        <f>SUM('FG Sheet'!G6:G67)</f>
        <v>815.28</v>
      </c>
      <c r="E17" s="21">
        <f>SUM('RM Sheet'!E6:E67)</f>
        <v>1619.8799999999999</v>
      </c>
    </row>
    <row r="18" spans="1:5" ht="15" customHeight="1" x14ac:dyDescent="0.25">
      <c r="A18" s="20" t="s">
        <v>29</v>
      </c>
      <c r="B18" s="1">
        <f>SUM('RM Sheet'!F6:F67)</f>
        <v>32</v>
      </c>
      <c r="C18" s="1">
        <f>SUM('FG Sheet'!H6:H67)</f>
        <v>36</v>
      </c>
      <c r="D18" s="21">
        <f>SUM('FG Sheet'!I6:I67)</f>
        <v>405.69</v>
      </c>
      <c r="E18" s="21">
        <f>SUM('RM Sheet'!G6:G67)</f>
        <v>972.16</v>
      </c>
    </row>
    <row r="19" spans="1:5" ht="15" customHeight="1" x14ac:dyDescent="0.25">
      <c r="A19" s="20" t="s">
        <v>30</v>
      </c>
      <c r="B19" s="1">
        <f>SUM('RM Sheet'!H6:H67)</f>
        <v>0</v>
      </c>
      <c r="C19" s="1">
        <f>SUM('FG Sheet'!J6:J67)</f>
        <v>0</v>
      </c>
      <c r="D19" s="21">
        <f>SUM('FG Sheet'!K6:K67)</f>
        <v>0</v>
      </c>
      <c r="E19" s="21">
        <f>SUM('RM Sheet'!I6:I67)</f>
        <v>0</v>
      </c>
    </row>
    <row r="22" spans="1:5" ht="15.75" customHeight="1" x14ac:dyDescent="0.25">
      <c r="A22" s="18" t="s">
        <v>66</v>
      </c>
    </row>
    <row r="23" spans="1:5" ht="30" customHeight="1" x14ac:dyDescent="0.25">
      <c r="A23" s="19" t="s">
        <v>67</v>
      </c>
      <c r="B23" s="19" t="s">
        <v>68</v>
      </c>
      <c r="C23" s="19" t="s">
        <v>69</v>
      </c>
      <c r="D23" s="19" t="s">
        <v>172</v>
      </c>
    </row>
    <row r="24" spans="1:5" ht="15" customHeight="1" x14ac:dyDescent="0.25">
      <c r="A24" s="1" t="str">
        <f>'Transport Sheet'!A7</f>
        <v>TN86E6607</v>
      </c>
      <c r="B24" s="1" t="str">
        <f>'Transport Sheet'!E7</f>
        <v>In-Transit</v>
      </c>
      <c r="C24" s="1" t="str">
        <f>'Transport Sheet'!D7</f>
        <v>PERUDURAI</v>
      </c>
      <c r="D24" s="1" t="str">
        <f>'Transport Sheet'!H7</f>
        <v>RETURN TO COMPANY</v>
      </c>
    </row>
    <row r="25" spans="1:5" ht="15" customHeight="1" x14ac:dyDescent="0.25">
      <c r="A25" s="1" t="str">
        <f>'Transport Sheet'!A8</f>
        <v>TN33BZ2067</v>
      </c>
      <c r="B25" s="1" t="str">
        <f>'Transport Sheet'!E8</f>
        <v>Loading</v>
      </c>
      <c r="C25" s="1" t="str">
        <f>'Transport Sheet'!D8</f>
        <v>PERUDURAI</v>
      </c>
      <c r="D25" s="1" t="str">
        <f>'Transport Sheet'!H8</f>
        <v>KARAIKAL LINE</v>
      </c>
    </row>
    <row r="26" spans="1:5" ht="15" customHeight="1" x14ac:dyDescent="0.25">
      <c r="A26" s="1" t="str">
        <f>'Transport Sheet'!A9</f>
        <v>TN33CA9311</v>
      </c>
      <c r="B26" s="1" t="str">
        <f>'Transport Sheet'!E9</f>
        <v>In-Transit</v>
      </c>
      <c r="C26" s="1" t="str">
        <f>'Transport Sheet'!D9</f>
        <v>PERUDURAI</v>
      </c>
      <c r="D26" s="1" t="str">
        <f>'Transport Sheet'!H9</f>
        <v>RETURN TO COMPANY</v>
      </c>
    </row>
    <row r="29" spans="1:5" ht="15.75" customHeight="1" x14ac:dyDescent="0.25">
      <c r="A29" s="22" t="s">
        <v>71</v>
      </c>
    </row>
    <row r="30" spans="1:5" ht="30" customHeight="1" x14ac:dyDescent="0.25">
      <c r="A30" s="19" t="s">
        <v>72</v>
      </c>
      <c r="B30" s="19" t="s">
        <v>73</v>
      </c>
      <c r="C30" s="19" t="s">
        <v>74</v>
      </c>
      <c r="D30" s="19" t="s">
        <v>75</v>
      </c>
    </row>
    <row r="31" spans="1:5" ht="15" customHeight="1" x14ac:dyDescent="0.25">
      <c r="A31" s="1" t="s">
        <v>76</v>
      </c>
      <c r="B31" s="1" t="str">
        <f>A41</f>
        <v xml:space="preserve">Maize </v>
      </c>
      <c r="C31" s="1" t="str">
        <f>"Stock: "&amp;B41&amp;" MT | Need: "&amp;C41&amp;" MT"</f>
        <v>Stock: 0 MT | Need: 115 MT</v>
      </c>
      <c r="D31" s="1" t="str">
        <f>E41</f>
        <v>SHORTAGE</v>
      </c>
    </row>
    <row r="32" spans="1:5" ht="15" customHeight="1" x14ac:dyDescent="0.25">
      <c r="A32" s="1" t="s">
        <v>76</v>
      </c>
      <c r="B32" s="1" t="str">
        <f>A42</f>
        <v xml:space="preserve">Maize Bran </v>
      </c>
      <c r="C32" s="1" t="str">
        <f>"Stock: "&amp;B42&amp;" MT | Need: "&amp;C42&amp;" MT"</f>
        <v>Stock: 0 MT | Need: 1.5 MT</v>
      </c>
      <c r="D32" s="1" t="str">
        <f>E42</f>
        <v>SHORTAGE</v>
      </c>
    </row>
    <row r="33" spans="1:5" ht="15" customHeight="1" x14ac:dyDescent="0.25">
      <c r="A33" s="1" t="s">
        <v>76</v>
      </c>
      <c r="B33" s="1" t="str">
        <f>A43</f>
        <v xml:space="preserve">Maize Doc </v>
      </c>
      <c r="C33" s="1" t="str">
        <f>"Stock: "&amp;B43&amp;" MT | Need: "&amp;C43&amp;" MT"</f>
        <v>Stock: 0 MT | Need: 35 MT</v>
      </c>
      <c r="D33" s="1" t="str">
        <f>E43</f>
        <v>SHORTAGE</v>
      </c>
    </row>
    <row r="34" spans="1:5" ht="15" customHeight="1" x14ac:dyDescent="0.25">
      <c r="A34" s="1" t="s">
        <v>77</v>
      </c>
      <c r="B34" s="1">
        <f>A59</f>
        <v>0</v>
      </c>
      <c r="C34" s="1" t="str">
        <f>"Stock: "&amp;B59&amp;" MT | Orders: "&amp;C59&amp;" MT"</f>
        <v>Stock: 0 MT | Orders: 0 MT</v>
      </c>
      <c r="D34" s="1">
        <f>D59</f>
        <v>0</v>
      </c>
    </row>
    <row r="35" spans="1:5" ht="15" customHeight="1" x14ac:dyDescent="0.25">
      <c r="A35" s="1" t="s">
        <v>77</v>
      </c>
      <c r="B35" s="1">
        <f>A60</f>
        <v>0</v>
      </c>
      <c r="C35" s="1" t="str">
        <f>"Stock: "&amp;B60&amp;" MT | Orders: "&amp;C60&amp;" MT"</f>
        <v>Stock: 0 MT | Orders: 0 MT</v>
      </c>
      <c r="D35" s="1">
        <f>D60</f>
        <v>0</v>
      </c>
    </row>
    <row r="37" spans="1:5" ht="15" customHeight="1" x14ac:dyDescent="0.25">
      <c r="A37" s="23" t="s">
        <v>78</v>
      </c>
      <c r="B37" s="24" t="s">
        <v>79</v>
      </c>
    </row>
    <row r="39" spans="1:5" ht="15.75" customHeight="1" x14ac:dyDescent="0.25">
      <c r="A39" s="22" t="s">
        <v>80</v>
      </c>
    </row>
    <row r="40" spans="1:5" ht="30" customHeight="1" x14ac:dyDescent="0.25">
      <c r="A40" s="19" t="s">
        <v>81</v>
      </c>
      <c r="B40" s="19" t="s">
        <v>82</v>
      </c>
      <c r="C40" s="19" t="s">
        <v>83</v>
      </c>
      <c r="D40" s="19" t="s">
        <v>84</v>
      </c>
      <c r="E40" s="19" t="s">
        <v>75</v>
      </c>
    </row>
    <row r="41" spans="1:5" ht="15" customHeight="1" x14ac:dyDescent="0.25">
      <c r="A41" s="25" t="str">
        <f>Shortage!A3</f>
        <v xml:space="preserve">Maize </v>
      </c>
      <c r="B41" s="25">
        <f>Shortage!B3</f>
        <v>0</v>
      </c>
      <c r="C41" s="25">
        <f>Shortage!C3</f>
        <v>115</v>
      </c>
      <c r="D41" s="1">
        <f t="shared" ref="D41:D55" si="0">MAX(C41-B41,0)</f>
        <v>115</v>
      </c>
      <c r="E41" s="1" t="str">
        <f t="shared" ref="E41:E55" si="1">IF(AND(B41&lt;&gt;"",C41&lt;&gt;""),IF(B41&lt;C41,"SHORTAGE","OK"),"")</f>
        <v>SHORTAGE</v>
      </c>
    </row>
    <row r="42" spans="1:5" ht="15" customHeight="1" x14ac:dyDescent="0.25">
      <c r="A42" s="25" t="str">
        <f>Shortage!A4</f>
        <v xml:space="preserve">Maize Bran </v>
      </c>
      <c r="B42" s="25">
        <f>Shortage!B4</f>
        <v>0</v>
      </c>
      <c r="C42" s="25">
        <f>Shortage!C4</f>
        <v>1.5</v>
      </c>
      <c r="D42" s="1">
        <f t="shared" si="0"/>
        <v>1.5</v>
      </c>
      <c r="E42" s="1" t="str">
        <f t="shared" si="1"/>
        <v>SHORTAGE</v>
      </c>
    </row>
    <row r="43" spans="1:5" ht="15" customHeight="1" x14ac:dyDescent="0.25">
      <c r="A43" s="25" t="str">
        <f>Shortage!A5</f>
        <v xml:space="preserve">Maize Doc </v>
      </c>
      <c r="B43" s="25">
        <f>Shortage!B5</f>
        <v>0</v>
      </c>
      <c r="C43" s="25">
        <f>Shortage!C5</f>
        <v>35</v>
      </c>
      <c r="D43" s="1">
        <f t="shared" si="0"/>
        <v>35</v>
      </c>
      <c r="E43" s="1" t="str">
        <f t="shared" si="1"/>
        <v>SHORTAGE</v>
      </c>
    </row>
    <row r="44" spans="1:5" ht="15" customHeight="1" x14ac:dyDescent="0.25">
      <c r="A44" s="25" t="str">
        <f>Shortage!A6</f>
        <v xml:space="preserve">Maize DDGS </v>
      </c>
      <c r="B44" s="25">
        <f>Shortage!B6</f>
        <v>0</v>
      </c>
      <c r="C44" s="25">
        <f>Shortage!C6</f>
        <v>145</v>
      </c>
      <c r="D44" s="1">
        <f t="shared" si="0"/>
        <v>145</v>
      </c>
      <c r="E44" s="1" t="str">
        <f t="shared" si="1"/>
        <v>SHORTAGE</v>
      </c>
    </row>
    <row r="45" spans="1:5" ht="15" customHeight="1" x14ac:dyDescent="0.25">
      <c r="A45" s="25" t="str">
        <f>Shortage!A7</f>
        <v xml:space="preserve">Rapeseed Ext </v>
      </c>
      <c r="B45" s="25">
        <f>Shortage!B7</f>
        <v>0</v>
      </c>
      <c r="C45" s="25">
        <f>Shortage!C7</f>
        <v>25</v>
      </c>
      <c r="D45" s="1">
        <f t="shared" si="0"/>
        <v>25</v>
      </c>
      <c r="E45" s="1" t="str">
        <f t="shared" si="1"/>
        <v>SHORTAGE</v>
      </c>
    </row>
    <row r="46" spans="1:5" ht="15" customHeight="1" x14ac:dyDescent="0.25">
      <c r="A46" s="25" t="str">
        <f>Shortage!A8</f>
        <v xml:space="preserve">Rice DDGS </v>
      </c>
      <c r="B46" s="25">
        <f>Shortage!B8</f>
        <v>0</v>
      </c>
      <c r="C46" s="25">
        <f>Shortage!C8</f>
        <v>13</v>
      </c>
      <c r="D46" s="1">
        <f t="shared" si="0"/>
        <v>13</v>
      </c>
      <c r="E46" s="1" t="str">
        <f t="shared" si="1"/>
        <v>SHORTAGE</v>
      </c>
    </row>
    <row r="47" spans="1:5" ht="15" customHeight="1" x14ac:dyDescent="0.25">
      <c r="A47" s="25" t="str">
        <f>Shortage!A9</f>
        <v xml:space="preserve">Silky Bran </v>
      </c>
      <c r="B47" s="25">
        <f>Shortage!B9</f>
        <v>0</v>
      </c>
      <c r="C47" s="25">
        <f>Shortage!C9</f>
        <v>12</v>
      </c>
      <c r="D47" s="1">
        <f t="shared" si="0"/>
        <v>12</v>
      </c>
      <c r="E47" s="1" t="str">
        <f t="shared" si="1"/>
        <v>SHORTAGE</v>
      </c>
    </row>
    <row r="48" spans="1:5" ht="15" customHeight="1" x14ac:dyDescent="0.25">
      <c r="A48" s="25" t="str">
        <f>Shortage!A10</f>
        <v xml:space="preserve">Masoor Dust </v>
      </c>
      <c r="B48" s="25">
        <f>Shortage!B10</f>
        <v>0</v>
      </c>
      <c r="C48" s="25">
        <f>Shortage!C10</f>
        <v>10</v>
      </c>
      <c r="D48" s="1">
        <f t="shared" si="0"/>
        <v>10</v>
      </c>
      <c r="E48" s="1" t="str">
        <f t="shared" si="1"/>
        <v>SHORTAGE</v>
      </c>
    </row>
    <row r="49" spans="1:5" ht="15" customHeight="1" x14ac:dyDescent="0.25">
      <c r="A49" s="25" t="str">
        <f>Shortage!A11</f>
        <v xml:space="preserve">DORB Nice </v>
      </c>
      <c r="B49" s="25">
        <f>Shortage!B11</f>
        <v>0</v>
      </c>
      <c r="C49" s="25">
        <f>Shortage!C11</f>
        <v>6</v>
      </c>
      <c r="D49" s="1">
        <f t="shared" si="0"/>
        <v>6</v>
      </c>
      <c r="E49" s="1" t="str">
        <f t="shared" si="1"/>
        <v>SHORTAGE</v>
      </c>
    </row>
    <row r="50" spans="1:5" ht="15" customHeight="1" x14ac:dyDescent="0.25">
      <c r="A50" s="25" t="str">
        <f>Shortage!A12</f>
        <v xml:space="preserve">LORB Nice </v>
      </c>
      <c r="B50" s="25">
        <f>Shortage!B12</f>
        <v>0</v>
      </c>
      <c r="C50" s="25">
        <f>Shortage!C12</f>
        <v>0.5</v>
      </c>
      <c r="D50" s="1">
        <f t="shared" si="0"/>
        <v>0.5</v>
      </c>
      <c r="E50" s="1" t="str">
        <f t="shared" si="1"/>
        <v>SHORTAGE</v>
      </c>
    </row>
    <row r="51" spans="1:5" ht="15" customHeight="1" x14ac:dyDescent="0.25">
      <c r="A51" s="25" t="str">
        <f>Shortage!A13</f>
        <v xml:space="preserve">Cattle Feed CHOW </v>
      </c>
      <c r="B51" s="25">
        <f>Shortage!B13</f>
        <v>0</v>
      </c>
      <c r="C51" s="25">
        <f>Shortage!C13</f>
        <v>8</v>
      </c>
      <c r="D51" s="1">
        <f t="shared" si="0"/>
        <v>8</v>
      </c>
      <c r="E51" s="1" t="str">
        <f t="shared" si="1"/>
        <v>SHORTAGE</v>
      </c>
    </row>
    <row r="52" spans="1:5" ht="15" customHeight="1" x14ac:dyDescent="0.25">
      <c r="A52" s="25" t="str">
        <f>Shortage!A14</f>
        <v xml:space="preserve">Coffee Husk </v>
      </c>
      <c r="B52" s="25">
        <f>Shortage!B14</f>
        <v>0</v>
      </c>
      <c r="C52" s="25">
        <f>Shortage!C14</f>
        <v>26</v>
      </c>
      <c r="D52" s="1">
        <f t="shared" si="0"/>
        <v>26</v>
      </c>
      <c r="E52" s="1" t="str">
        <f t="shared" si="1"/>
        <v>SHORTAGE</v>
      </c>
    </row>
    <row r="53" spans="1:5" ht="15" customHeight="1" x14ac:dyDescent="0.25">
      <c r="A53" s="25" t="str">
        <f>Shortage!A15</f>
        <v>Powder Salt</v>
      </c>
      <c r="B53" s="25">
        <f>Shortage!B15</f>
        <v>0</v>
      </c>
      <c r="C53" s="25">
        <f>Shortage!C15</f>
        <v>3</v>
      </c>
      <c r="D53" s="1">
        <f t="shared" si="0"/>
        <v>3</v>
      </c>
      <c r="E53" s="1" t="str">
        <f t="shared" si="1"/>
        <v>SHORTAGE</v>
      </c>
    </row>
    <row r="54" spans="1:5" ht="15" customHeight="1" x14ac:dyDescent="0.25">
      <c r="A54" s="25" t="str">
        <f>Shortage!A16</f>
        <v>Minerals (NPN)</v>
      </c>
      <c r="B54" s="25">
        <f>Shortage!B16</f>
        <v>0</v>
      </c>
      <c r="C54" s="25">
        <f>Shortage!C16</f>
        <v>8</v>
      </c>
      <c r="D54" s="1">
        <f t="shared" si="0"/>
        <v>8</v>
      </c>
      <c r="E54" s="1" t="str">
        <f t="shared" si="1"/>
        <v>SHORTAGE</v>
      </c>
    </row>
    <row r="55" spans="1:5" ht="15" customHeight="1" x14ac:dyDescent="0.25">
      <c r="A55" s="25" t="str">
        <f>Shortage!A17</f>
        <v xml:space="preserve">MBM </v>
      </c>
      <c r="B55" s="25">
        <f>Shortage!B17</f>
        <v>0</v>
      </c>
      <c r="C55" s="25">
        <f>Shortage!C17</f>
        <v>2</v>
      </c>
      <c r="D55" s="1">
        <f t="shared" si="0"/>
        <v>2</v>
      </c>
      <c r="E55" s="1" t="str">
        <f t="shared" si="1"/>
        <v>SHORTAGE</v>
      </c>
    </row>
    <row r="57" spans="1:5" ht="15.75" customHeight="1" x14ac:dyDescent="0.25">
      <c r="A57" s="22" t="s">
        <v>85</v>
      </c>
    </row>
    <row r="58" spans="1:5" ht="30" customHeight="1" x14ac:dyDescent="0.25">
      <c r="A58" s="19" t="s">
        <v>86</v>
      </c>
      <c r="B58" s="19" t="s">
        <v>82</v>
      </c>
      <c r="C58" s="19" t="s">
        <v>87</v>
      </c>
      <c r="D58" s="19" t="s">
        <v>75</v>
      </c>
    </row>
    <row r="59" spans="1:5" ht="15" customHeight="1" x14ac:dyDescent="0.25">
      <c r="A59" s="25">
        <f>Shortage!A22</f>
        <v>0</v>
      </c>
      <c r="B59" s="25">
        <f>Shortage!B22</f>
        <v>0</v>
      </c>
      <c r="C59" s="25">
        <f>Shortage!C22</f>
        <v>0</v>
      </c>
    </row>
    <row r="60" spans="1:5" ht="15" customHeight="1" x14ac:dyDescent="0.25">
      <c r="A60" s="25">
        <f>Shortage!A23</f>
        <v>0</v>
      </c>
      <c r="B60" s="25">
        <f>Shortage!B23</f>
        <v>0</v>
      </c>
      <c r="C60" s="25">
        <f>Shortage!C23</f>
        <v>0</v>
      </c>
    </row>
    <row r="61" spans="1:5" ht="15" customHeight="1" x14ac:dyDescent="0.25">
      <c r="A61" s="25">
        <f>Shortage!A24</f>
        <v>0</v>
      </c>
      <c r="B61" s="25">
        <f>Shortage!B24</f>
        <v>0</v>
      </c>
      <c r="C61" s="25">
        <f>Shortage!C24</f>
        <v>0</v>
      </c>
    </row>
    <row r="62" spans="1:5" ht="15" customHeight="1" x14ac:dyDescent="0.25">
      <c r="A62" s="25">
        <f>Shortage!A25</f>
        <v>0</v>
      </c>
      <c r="B62" s="25">
        <f>Shortage!B25</f>
        <v>0</v>
      </c>
      <c r="C62" s="25">
        <f>Shortage!C25</f>
        <v>0</v>
      </c>
    </row>
    <row r="63" spans="1:5" ht="15" customHeight="1" x14ac:dyDescent="0.25">
      <c r="A63" s="25">
        <f>Shortage!A26</f>
        <v>0</v>
      </c>
      <c r="B63" s="25">
        <f>Shortage!B26</f>
        <v>0</v>
      </c>
      <c r="C63" s="25">
        <f>Shortage!C26</f>
        <v>0</v>
      </c>
    </row>
    <row r="64" spans="1:5" ht="15" customHeight="1" x14ac:dyDescent="0.25">
      <c r="A64" s="25">
        <f>Shortage!A27</f>
        <v>0</v>
      </c>
      <c r="B64" s="25">
        <f>Shortage!B27</f>
        <v>0</v>
      </c>
      <c r="C64" s="25">
        <f>Shortage!C27</f>
        <v>0</v>
      </c>
    </row>
    <row r="65" spans="1:3" ht="15" customHeight="1" x14ac:dyDescent="0.25">
      <c r="A65" s="25">
        <f>Shortage!A28</f>
        <v>0</v>
      </c>
      <c r="B65" s="25">
        <f>Shortage!B28</f>
        <v>0</v>
      </c>
      <c r="C65" s="25">
        <f>Shortage!C28</f>
        <v>0</v>
      </c>
    </row>
    <row r="66" spans="1:3" ht="15" customHeight="1" x14ac:dyDescent="0.25">
      <c r="A66" s="25">
        <f>Shortage!A29</f>
        <v>0</v>
      </c>
      <c r="B66" s="25">
        <f>Shortage!B29</f>
        <v>0</v>
      </c>
      <c r="C66" s="25">
        <f>Shortage!C29</f>
        <v>0</v>
      </c>
    </row>
    <row r="68" spans="1:3" ht="15" customHeight="1" x14ac:dyDescent="0.25">
      <c r="A68" s="23" t="s">
        <v>78</v>
      </c>
      <c r="B68" s="24" t="s">
        <v>79</v>
      </c>
    </row>
  </sheetData>
  <mergeCells count="18">
    <mergeCell ref="A1:H1"/>
    <mergeCell ref="A2:H2"/>
    <mergeCell ref="A5:B5"/>
    <mergeCell ref="C5:D5"/>
    <mergeCell ref="E5:F5"/>
    <mergeCell ref="G5:H5"/>
    <mergeCell ref="A10:B10"/>
    <mergeCell ref="C10:D10"/>
    <mergeCell ref="E10:F10"/>
    <mergeCell ref="G10:H10"/>
    <mergeCell ref="A6:B6"/>
    <mergeCell ref="C6:D6"/>
    <mergeCell ref="E6:F6"/>
    <mergeCell ref="G6:H6"/>
    <mergeCell ref="A9:B9"/>
    <mergeCell ref="C9:D9"/>
    <mergeCell ref="E9:F9"/>
    <mergeCell ref="G9:H9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2"/>
  <sheetViews>
    <sheetView showGridLines="0" topLeftCell="C35" zoomScale="85" zoomScaleNormal="85" workbookViewId="0">
      <selection activeCell="M51" sqref="M51"/>
    </sheetView>
  </sheetViews>
  <sheetFormatPr defaultColWidth="8.7109375" defaultRowHeight="15" x14ac:dyDescent="0.25"/>
  <cols>
    <col min="1" max="1" width="13" style="1" customWidth="1"/>
    <col min="2" max="2" width="13.7109375" style="1" customWidth="1"/>
    <col min="3" max="3" width="14.85546875" style="1" customWidth="1"/>
    <col min="4" max="4" width="16.7109375" style="1" customWidth="1"/>
    <col min="5" max="5" width="17.28515625" style="1" customWidth="1"/>
    <col min="6" max="7" width="12" style="1" customWidth="1"/>
    <col min="8" max="8" width="15.42578125" style="1" customWidth="1"/>
    <col min="9" max="10" width="14.85546875" style="1" customWidth="1"/>
    <col min="11" max="11" width="15.42578125" style="1" customWidth="1"/>
    <col min="12" max="13" width="12" style="1" customWidth="1"/>
    <col min="14" max="14" width="15.5703125" style="1" customWidth="1"/>
    <col min="15" max="15" width="17" style="1" customWidth="1"/>
    <col min="16" max="16" width="15.28515625" style="1" customWidth="1"/>
    <col min="17" max="17" width="15.42578125" style="1" customWidth="1"/>
    <col min="18" max="18" width="12" style="1" customWidth="1"/>
    <col min="19" max="19" width="14" style="1" customWidth="1"/>
    <col min="20" max="20" width="15.28515625" style="1" customWidth="1"/>
    <col min="21" max="21" width="18.85546875" style="1" customWidth="1"/>
    <col min="22" max="22" width="16.28515625" style="1" customWidth="1"/>
    <col min="23" max="23" width="16" style="1" customWidth="1"/>
    <col min="24" max="25" width="15.28515625" style="1" customWidth="1"/>
  </cols>
  <sheetData>
    <row r="1" spans="1:25" ht="23.25" customHeight="1" x14ac:dyDescent="0.35">
      <c r="A1" s="102" t="s">
        <v>88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</row>
    <row r="2" spans="1:25" ht="15" customHeight="1" x14ac:dyDescent="0.25">
      <c r="A2" s="103" t="s">
        <v>89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</row>
    <row r="4" spans="1:25" ht="15.75" customHeight="1" x14ac:dyDescent="0.25">
      <c r="A4" s="72" t="s">
        <v>90</v>
      </c>
      <c r="B4" s="72"/>
      <c r="C4" s="72"/>
      <c r="D4" s="72"/>
      <c r="E4" s="72"/>
      <c r="F4" s="72"/>
      <c r="G4" s="72"/>
      <c r="H4" s="72"/>
      <c r="I4" s="72"/>
      <c r="J4" s="27"/>
    </row>
    <row r="5" spans="1:25" ht="15" customHeight="1" x14ac:dyDescent="0.25">
      <c r="A5" s="94" t="s">
        <v>91</v>
      </c>
      <c r="B5" s="94"/>
      <c r="C5" s="94"/>
      <c r="D5" s="94"/>
      <c r="E5" s="94"/>
      <c r="F5" s="28">
        <v>46235</v>
      </c>
    </row>
    <row r="6" spans="1:25" ht="15" customHeight="1" x14ac:dyDescent="0.25">
      <c r="A6" s="29" t="s">
        <v>92</v>
      </c>
      <c r="B6" s="29"/>
      <c r="C6" s="29"/>
      <c r="D6" s="29"/>
      <c r="E6" s="29"/>
      <c r="F6" s="30">
        <v>24</v>
      </c>
    </row>
    <row r="7" spans="1:25" ht="15" customHeight="1" x14ac:dyDescent="0.25">
      <c r="A7" s="94" t="s">
        <v>93</v>
      </c>
      <c r="B7" s="94"/>
      <c r="C7" s="94"/>
      <c r="D7" s="94"/>
      <c r="E7" s="94"/>
      <c r="F7" s="30">
        <v>24</v>
      </c>
    </row>
    <row r="8" spans="1:25" ht="15" customHeight="1" x14ac:dyDescent="0.25">
      <c r="A8" s="94" t="s">
        <v>94</v>
      </c>
      <c r="B8" s="94"/>
      <c r="C8" s="94"/>
      <c r="D8" s="94"/>
      <c r="E8" s="94"/>
      <c r="F8" s="30">
        <v>12</v>
      </c>
    </row>
    <row r="9" spans="1:25" ht="15" customHeight="1" x14ac:dyDescent="0.25">
      <c r="A9" s="94" t="s">
        <v>95</v>
      </c>
      <c r="B9" s="94"/>
      <c r="C9" s="94"/>
      <c r="D9" s="94"/>
      <c r="E9" s="94"/>
      <c r="F9" s="30">
        <v>9000</v>
      </c>
    </row>
    <row r="10" spans="1:25" ht="15" customHeight="1" x14ac:dyDescent="0.25">
      <c r="A10" s="94" t="s">
        <v>96</v>
      </c>
      <c r="B10" s="94"/>
      <c r="C10" s="94"/>
      <c r="D10" s="94"/>
      <c r="E10" s="94"/>
      <c r="F10" s="30">
        <v>200</v>
      </c>
    </row>
    <row r="11" spans="1:25" ht="18" hidden="1" customHeight="1" x14ac:dyDescent="0.25">
      <c r="A11" s="94" t="s">
        <v>97</v>
      </c>
      <c r="B11" s="94"/>
      <c r="C11" s="94"/>
      <c r="D11" s="94"/>
      <c r="E11" s="94"/>
      <c r="F11" s="30">
        <f>'FG Sheet'!B3</f>
        <v>0</v>
      </c>
    </row>
    <row r="12" spans="1:25" ht="15" hidden="1" customHeight="1" x14ac:dyDescent="0.25">
      <c r="A12" s="94" t="s">
        <v>98</v>
      </c>
      <c r="B12" s="94"/>
      <c r="C12" s="94"/>
      <c r="D12" s="94"/>
      <c r="E12" s="94"/>
      <c r="F12" s="30">
        <f>'FG Sheet'!G3</f>
        <v>0</v>
      </c>
    </row>
    <row r="13" spans="1:25" ht="15" customHeight="1" x14ac:dyDescent="0.25">
      <c r="A13" s="94" t="s">
        <v>99</v>
      </c>
      <c r="B13" s="94"/>
      <c r="C13" s="94"/>
      <c r="D13" s="94"/>
      <c r="E13" s="94"/>
      <c r="F13" s="30">
        <v>1836.34</v>
      </c>
    </row>
    <row r="14" spans="1:25" ht="15" customHeight="1" x14ac:dyDescent="0.25">
      <c r="A14" s="95" t="s">
        <v>100</v>
      </c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</row>
    <row r="16" spans="1:25" ht="15.75" customHeight="1" x14ac:dyDescent="0.25">
      <c r="A16" s="72" t="s">
        <v>101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</row>
    <row r="17" spans="1:25" ht="15" customHeight="1" x14ac:dyDescent="0.25">
      <c r="B17" s="96" t="s">
        <v>102</v>
      </c>
      <c r="C17" s="96"/>
      <c r="D17" s="96"/>
      <c r="E17" s="96"/>
      <c r="F17" s="96"/>
      <c r="G17" s="96"/>
      <c r="H17" s="97" t="s">
        <v>103</v>
      </c>
      <c r="I17" s="97"/>
      <c r="J17" s="97"/>
      <c r="K17" s="97"/>
      <c r="L17" s="97"/>
      <c r="M17" s="98" t="s">
        <v>43</v>
      </c>
      <c r="N17" s="98"/>
      <c r="O17" s="99" t="s">
        <v>104</v>
      </c>
      <c r="P17" s="99"/>
      <c r="Q17" s="99"/>
      <c r="R17" s="99"/>
      <c r="S17" s="100" t="s">
        <v>105</v>
      </c>
      <c r="T17" s="100"/>
      <c r="U17" s="100"/>
      <c r="V17" s="100"/>
      <c r="W17" s="101" t="s">
        <v>106</v>
      </c>
      <c r="X17" s="101"/>
      <c r="Y17" s="101"/>
    </row>
    <row r="18" spans="1:25" ht="30" customHeight="1" x14ac:dyDescent="0.25">
      <c r="A18" s="7" t="s">
        <v>107</v>
      </c>
      <c r="B18" s="31" t="s">
        <v>108</v>
      </c>
      <c r="C18" s="31" t="s">
        <v>109</v>
      </c>
      <c r="D18" s="31" t="s">
        <v>110</v>
      </c>
      <c r="E18" s="31" t="s">
        <v>111</v>
      </c>
      <c r="F18" s="31" t="s">
        <v>112</v>
      </c>
      <c r="G18" s="31" t="s">
        <v>113</v>
      </c>
      <c r="H18" s="31" t="s">
        <v>114</v>
      </c>
      <c r="I18" s="31" t="s">
        <v>115</v>
      </c>
      <c r="J18" s="31" t="s">
        <v>116</v>
      </c>
      <c r="K18" s="31" t="s">
        <v>117</v>
      </c>
      <c r="L18" s="31" t="s">
        <v>118</v>
      </c>
      <c r="M18" s="31" t="s">
        <v>119</v>
      </c>
      <c r="N18" s="31" t="s">
        <v>120</v>
      </c>
      <c r="O18" s="31" t="s">
        <v>114</v>
      </c>
      <c r="P18" s="31" t="s">
        <v>115</v>
      </c>
      <c r="Q18" s="31" t="s">
        <v>117</v>
      </c>
      <c r="R18" s="31" t="s">
        <v>118</v>
      </c>
      <c r="S18" s="31" t="s">
        <v>121</v>
      </c>
      <c r="T18" s="31" t="s">
        <v>122</v>
      </c>
      <c r="U18" s="31" t="s">
        <v>123</v>
      </c>
      <c r="V18" s="31" t="s">
        <v>124</v>
      </c>
      <c r="W18" s="31" t="s">
        <v>125</v>
      </c>
      <c r="X18" s="31" t="s">
        <v>126</v>
      </c>
      <c r="Y18" s="31" t="s">
        <v>127</v>
      </c>
    </row>
    <row r="19" spans="1:25" ht="24.75" customHeight="1" x14ac:dyDescent="0.25">
      <c r="A19" s="32">
        <v>46235</v>
      </c>
      <c r="B19" s="30">
        <v>38.6</v>
      </c>
      <c r="C19" s="30"/>
      <c r="D19" s="30">
        <v>315.5</v>
      </c>
      <c r="E19" s="30"/>
      <c r="F19" s="30"/>
      <c r="G19" s="30"/>
      <c r="H19" s="30">
        <f>90/60</f>
        <v>1.5</v>
      </c>
      <c r="I19" s="30"/>
      <c r="J19" s="30"/>
      <c r="K19" s="30"/>
      <c r="L19" s="30">
        <f>15/60</f>
        <v>0.25</v>
      </c>
      <c r="M19" s="30"/>
      <c r="N19" s="30"/>
      <c r="O19" s="30"/>
      <c r="P19" s="30"/>
      <c r="Q19" s="30"/>
      <c r="R19" s="30"/>
      <c r="S19" s="30"/>
      <c r="T19" s="30"/>
      <c r="U19" s="30">
        <v>3</v>
      </c>
      <c r="V19" s="30"/>
      <c r="W19" s="30">
        <v>2706.4</v>
      </c>
      <c r="X19" s="30">
        <v>6392</v>
      </c>
      <c r="Y19" s="30">
        <v>8</v>
      </c>
    </row>
    <row r="20" spans="1:25" ht="24.75" customHeight="1" x14ac:dyDescent="0.25">
      <c r="A20" s="32">
        <v>46236</v>
      </c>
      <c r="B20" s="30"/>
      <c r="C20" s="30"/>
      <c r="D20" s="30">
        <v>365</v>
      </c>
      <c r="E20" s="30"/>
      <c r="F20" s="30"/>
      <c r="G20" s="30"/>
      <c r="H20" s="30">
        <v>1</v>
      </c>
      <c r="I20" s="30"/>
      <c r="J20" s="30">
        <f>10/60</f>
        <v>0.16666666666666666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>
        <v>1557.6</v>
      </c>
      <c r="X20" s="30">
        <v>7856</v>
      </c>
      <c r="Y20" s="30">
        <v>0</v>
      </c>
    </row>
    <row r="21" spans="1:25" ht="24.75" customHeight="1" x14ac:dyDescent="0.25">
      <c r="A21" s="32">
        <v>46237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>
        <v>133.6</v>
      </c>
      <c r="X21" s="30">
        <v>280</v>
      </c>
      <c r="Y21" s="30">
        <v>728</v>
      </c>
    </row>
    <row r="22" spans="1:25" ht="24.75" customHeight="1" x14ac:dyDescent="0.25">
      <c r="A22" s="32">
        <v>46238</v>
      </c>
      <c r="B22" s="30"/>
      <c r="C22" s="30"/>
      <c r="D22" s="30">
        <v>170</v>
      </c>
      <c r="E22" s="30"/>
      <c r="F22" s="30">
        <v>187.25</v>
      </c>
      <c r="G22" s="30"/>
      <c r="H22" s="30">
        <f>20/60</f>
        <v>0.33333333333333331</v>
      </c>
      <c r="I22" s="30"/>
      <c r="J22" s="30">
        <f>10/60</f>
        <v>0.16666666666666666</v>
      </c>
      <c r="K22" s="30"/>
      <c r="L22" s="30">
        <v>2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>
        <v>2124</v>
      </c>
      <c r="X22" s="30">
        <v>7584</v>
      </c>
      <c r="Y22" s="30">
        <v>0</v>
      </c>
    </row>
    <row r="23" spans="1:25" ht="24.75" customHeight="1" x14ac:dyDescent="0.25">
      <c r="A23" s="32">
        <v>46239</v>
      </c>
      <c r="B23" s="30">
        <v>80.05</v>
      </c>
      <c r="C23" s="30"/>
      <c r="D23" s="30">
        <v>36</v>
      </c>
      <c r="E23" s="30"/>
      <c r="F23" s="30">
        <v>162.05000000000001</v>
      </c>
      <c r="G23" s="30"/>
      <c r="H23" s="30">
        <f>195/60</f>
        <v>3.25</v>
      </c>
      <c r="I23" s="30"/>
      <c r="J23" s="30"/>
      <c r="K23" s="30"/>
      <c r="L23" s="30">
        <f>40/60</f>
        <v>0.66666666666666663</v>
      </c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>
        <v>2803.2</v>
      </c>
      <c r="X23" s="30">
        <v>5648</v>
      </c>
      <c r="Y23" s="30">
        <v>24</v>
      </c>
    </row>
    <row r="24" spans="1:25" ht="24.75" customHeight="1" x14ac:dyDescent="0.25">
      <c r="A24" s="32">
        <v>46240</v>
      </c>
      <c r="B24" s="30"/>
      <c r="C24" s="30"/>
      <c r="D24" s="30">
        <v>329.6</v>
      </c>
      <c r="E24" s="30"/>
      <c r="F24" s="30"/>
      <c r="G24" s="30"/>
      <c r="H24" s="30">
        <f>60/60</f>
        <v>1</v>
      </c>
      <c r="I24" s="30"/>
      <c r="J24" s="30">
        <f>105/60</f>
        <v>1.75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>
        <v>1371.2</v>
      </c>
      <c r="X24" s="30">
        <v>5272</v>
      </c>
      <c r="Y24" s="30">
        <v>16</v>
      </c>
    </row>
    <row r="25" spans="1:25" ht="24.75" customHeight="1" x14ac:dyDescent="0.25">
      <c r="A25" s="32">
        <v>46241</v>
      </c>
      <c r="B25" s="30">
        <f>73.6+20.35</f>
        <v>93.949999999999989</v>
      </c>
      <c r="C25" s="30">
        <v>82</v>
      </c>
      <c r="D25" s="30">
        <v>20.25</v>
      </c>
      <c r="E25" s="30"/>
      <c r="F25" s="30">
        <v>35.299999999999997</v>
      </c>
      <c r="G25" s="30"/>
      <c r="H25" s="30">
        <f>240/60</f>
        <v>4</v>
      </c>
      <c r="I25" s="30">
        <v>1.5</v>
      </c>
      <c r="J25" s="30"/>
      <c r="K25" s="30"/>
      <c r="L25" s="30">
        <f>140/60</f>
        <v>2.3333333333333335</v>
      </c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>
        <v>2068.8000000000002</v>
      </c>
      <c r="X25" s="30">
        <v>3904</v>
      </c>
      <c r="Y25" s="30">
        <v>24</v>
      </c>
    </row>
    <row r="26" spans="1:25" ht="24.75" customHeight="1" x14ac:dyDescent="0.25">
      <c r="A26" s="32">
        <v>46242</v>
      </c>
      <c r="B26" s="30"/>
      <c r="C26" s="30">
        <v>158.9</v>
      </c>
      <c r="D26" s="30"/>
      <c r="E26" s="30"/>
      <c r="F26" s="30"/>
      <c r="G26" s="30">
        <v>90.9</v>
      </c>
      <c r="H26" s="30">
        <f>105/60</f>
        <v>1.75</v>
      </c>
      <c r="I26" s="30"/>
      <c r="J26" s="30"/>
      <c r="K26" s="30"/>
      <c r="L26" s="30">
        <v>2</v>
      </c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>
        <v>2068.8000000000002</v>
      </c>
      <c r="X26" s="30">
        <v>3152</v>
      </c>
      <c r="Y26" s="30">
        <v>48</v>
      </c>
    </row>
    <row r="27" spans="1:25" ht="24.75" customHeight="1" x14ac:dyDescent="0.25">
      <c r="A27" s="32">
        <v>46243</v>
      </c>
      <c r="B27" s="30"/>
      <c r="C27" s="30">
        <v>192</v>
      </c>
      <c r="D27" s="30"/>
      <c r="E27" s="30"/>
      <c r="F27" s="30"/>
      <c r="G27" s="30">
        <v>38.024999999999999</v>
      </c>
      <c r="H27" s="30">
        <f>40/60</f>
        <v>0.66666666666666663</v>
      </c>
      <c r="I27" s="30"/>
      <c r="J27" s="30"/>
      <c r="K27" s="30"/>
      <c r="L27" s="30">
        <f>285/60</f>
        <v>4.75</v>
      </c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>
        <v>987.2</v>
      </c>
      <c r="X27" s="30">
        <v>4088</v>
      </c>
      <c r="Y27" s="30">
        <v>376</v>
      </c>
    </row>
    <row r="28" spans="1:25" ht="24.75" customHeight="1" x14ac:dyDescent="0.25">
      <c r="A28" s="32">
        <v>46244</v>
      </c>
      <c r="B28" s="30">
        <v>47.35</v>
      </c>
      <c r="C28" s="30">
        <v>98</v>
      </c>
      <c r="D28" s="30"/>
      <c r="E28" s="30"/>
      <c r="F28" s="30">
        <v>59.5</v>
      </c>
      <c r="G28" s="30">
        <v>15.9</v>
      </c>
      <c r="H28" s="30">
        <f>235/60</f>
        <v>3.9166666666666665</v>
      </c>
      <c r="I28" s="30">
        <v>1.5</v>
      </c>
      <c r="J28" s="30">
        <f>45/60</f>
        <v>0.75</v>
      </c>
      <c r="K28" s="30"/>
      <c r="L28" s="30">
        <f>115/60</f>
        <v>1.9166666666666667</v>
      </c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>
        <v>2442.4</v>
      </c>
      <c r="X28" s="30">
        <v>4192</v>
      </c>
      <c r="Y28" s="30">
        <v>32</v>
      </c>
    </row>
    <row r="29" spans="1:25" ht="24.75" customHeight="1" x14ac:dyDescent="0.25">
      <c r="A29" s="32">
        <v>46245</v>
      </c>
      <c r="B29" s="30"/>
      <c r="C29" s="30"/>
      <c r="D29" s="30">
        <v>147</v>
      </c>
      <c r="E29" s="30"/>
      <c r="F29" s="30">
        <v>29.96</v>
      </c>
      <c r="G29" s="30">
        <v>41.6</v>
      </c>
      <c r="H29" s="30">
        <v>1</v>
      </c>
      <c r="I29" s="30"/>
      <c r="J29" s="30"/>
      <c r="K29" s="30"/>
      <c r="L29" s="30"/>
      <c r="M29" s="30">
        <v>3</v>
      </c>
      <c r="N29" s="30"/>
      <c r="O29" s="30"/>
      <c r="P29" s="30"/>
      <c r="Q29" s="30"/>
      <c r="R29" s="30"/>
      <c r="S29" s="30"/>
      <c r="T29" s="30"/>
      <c r="U29" s="30"/>
      <c r="V29" s="30"/>
      <c r="W29" s="30">
        <v>1214.4000000000001</v>
      </c>
      <c r="X29" s="30">
        <v>5792</v>
      </c>
      <c r="Y29" s="30">
        <v>24</v>
      </c>
    </row>
    <row r="30" spans="1:25" ht="24.75" customHeight="1" x14ac:dyDescent="0.25">
      <c r="A30" s="32">
        <v>46246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</row>
    <row r="31" spans="1:25" ht="24.75" customHeight="1" x14ac:dyDescent="0.25">
      <c r="A31" s="32">
        <v>46247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spans="1:25" ht="24.75" customHeight="1" x14ac:dyDescent="0.25">
      <c r="A32" s="32">
        <v>46248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</row>
    <row r="33" spans="1:25" ht="24.75" customHeight="1" x14ac:dyDescent="0.25">
      <c r="A33" s="32">
        <v>46249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</row>
    <row r="34" spans="1:25" ht="24.75" customHeight="1" x14ac:dyDescent="0.25">
      <c r="A34" s="32">
        <v>46250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</row>
    <row r="35" spans="1:25" ht="24.75" customHeight="1" x14ac:dyDescent="0.25">
      <c r="A35" s="32">
        <v>46251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</row>
    <row r="36" spans="1:25" ht="24.75" customHeight="1" x14ac:dyDescent="0.25">
      <c r="A36" s="32">
        <v>46252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</row>
    <row r="37" spans="1:25" ht="24.75" customHeight="1" x14ac:dyDescent="0.25">
      <c r="A37" s="32">
        <v>46253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</row>
    <row r="38" spans="1:25" ht="24.75" customHeight="1" x14ac:dyDescent="0.25">
      <c r="A38" s="32">
        <v>46254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</row>
    <row r="39" spans="1:25" ht="24.75" customHeight="1" x14ac:dyDescent="0.25">
      <c r="A39" s="32">
        <v>46255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</row>
    <row r="40" spans="1:25" ht="24.75" customHeight="1" x14ac:dyDescent="0.25">
      <c r="A40" s="32">
        <v>46256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</row>
    <row r="41" spans="1:25" ht="24.75" customHeight="1" x14ac:dyDescent="0.25">
      <c r="A41" s="32">
        <v>46257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</row>
    <row r="42" spans="1:25" ht="24.75" customHeight="1" x14ac:dyDescent="0.25">
      <c r="A42" s="32">
        <v>46258</v>
      </c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</row>
    <row r="43" spans="1:25" ht="24.75" customHeight="1" x14ac:dyDescent="0.25">
      <c r="A43" s="32">
        <v>46259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</row>
    <row r="44" spans="1:25" ht="24.75" customHeight="1" x14ac:dyDescent="0.25">
      <c r="A44" s="32">
        <v>46260</v>
      </c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</row>
    <row r="45" spans="1:25" ht="24.75" customHeight="1" x14ac:dyDescent="0.25">
      <c r="A45" s="32">
        <v>46261</v>
      </c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</row>
    <row r="46" spans="1:25" ht="24.75" customHeight="1" x14ac:dyDescent="0.25">
      <c r="A46" s="32">
        <v>46262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</row>
    <row r="47" spans="1:25" ht="24.75" customHeight="1" x14ac:dyDescent="0.25">
      <c r="A47" s="32">
        <v>46263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</row>
    <row r="48" spans="1:25" ht="24.75" customHeight="1" x14ac:dyDescent="0.25">
      <c r="A48" s="32">
        <v>46264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</row>
    <row r="49" spans="1:25" ht="24.75" customHeight="1" x14ac:dyDescent="0.25">
      <c r="A49" s="32">
        <v>46265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</row>
    <row r="50" spans="1:25" ht="26.25" customHeight="1" x14ac:dyDescent="0.25">
      <c r="B50" s="33">
        <f>SUM(B19:B49)</f>
        <v>259.95</v>
      </c>
      <c r="C50" s="33">
        <f>SUM(C19:C49)</f>
        <v>530.9</v>
      </c>
      <c r="D50" s="33">
        <f>SUM(D19:D49)</f>
        <v>1383.35</v>
      </c>
      <c r="E50" s="33">
        <f>SUM(E19:E49)</f>
        <v>0</v>
      </c>
      <c r="F50" s="33">
        <f>SUM(F20:F49)</f>
        <v>474.06</v>
      </c>
      <c r="G50" s="33">
        <f t="shared" ref="G50:R50" si="0">SUM(G19:G49)</f>
        <v>186.42500000000001</v>
      </c>
      <c r="H50" s="33">
        <f t="shared" si="0"/>
        <v>18.416666666666668</v>
      </c>
      <c r="I50" s="33">
        <f t="shared" si="0"/>
        <v>3</v>
      </c>
      <c r="J50" s="33">
        <f t="shared" si="0"/>
        <v>2.8333333333333335</v>
      </c>
      <c r="K50" s="33">
        <f t="shared" si="0"/>
        <v>0</v>
      </c>
      <c r="L50" s="33">
        <f t="shared" si="0"/>
        <v>13.916666666666666</v>
      </c>
      <c r="M50" s="33">
        <f>SUM(M19:M49)</f>
        <v>3</v>
      </c>
      <c r="N50" s="33">
        <f t="shared" si="0"/>
        <v>0</v>
      </c>
      <c r="O50" s="1">
        <f t="shared" si="0"/>
        <v>0</v>
      </c>
      <c r="P50" s="1">
        <f t="shared" si="0"/>
        <v>0</v>
      </c>
      <c r="Q50" s="1">
        <f t="shared" si="0"/>
        <v>0</v>
      </c>
      <c r="R50" s="1">
        <f t="shared" si="0"/>
        <v>0</v>
      </c>
    </row>
    <row r="52" spans="1:25" ht="15" customHeight="1" x14ac:dyDescent="0.25">
      <c r="C52" s="34" t="s">
        <v>128</v>
      </c>
      <c r="D52" s="34">
        <f>SUM(B50:G50)</f>
        <v>2834.6849999999999</v>
      </c>
      <c r="E52" s="34"/>
      <c r="F52" s="34"/>
      <c r="G52" s="34"/>
      <c r="H52" s="34" t="s">
        <v>41</v>
      </c>
      <c r="I52" s="34">
        <f>H50+I50+J50+K50+L50</f>
        <v>38.166666666666664</v>
      </c>
      <c r="J52" s="34"/>
      <c r="K52" s="34"/>
      <c r="L52" s="34"/>
      <c r="M52" s="34"/>
      <c r="N52" s="34"/>
    </row>
  </sheetData>
  <mergeCells count="19">
    <mergeCell ref="A1:Y1"/>
    <mergeCell ref="A2:Y2"/>
    <mergeCell ref="A4:I4"/>
    <mergeCell ref="A5:E5"/>
    <mergeCell ref="A7:E7"/>
    <mergeCell ref="A8:E8"/>
    <mergeCell ref="A9:E9"/>
    <mergeCell ref="A10:E10"/>
    <mergeCell ref="A11:E11"/>
    <mergeCell ref="A12:E12"/>
    <mergeCell ref="A13:E13"/>
    <mergeCell ref="A14:Y14"/>
    <mergeCell ref="A16:Y16"/>
    <mergeCell ref="B17:G17"/>
    <mergeCell ref="H17:L17"/>
    <mergeCell ref="M17:N17"/>
    <mergeCell ref="O17:R17"/>
    <mergeCell ref="S17:V17"/>
    <mergeCell ref="W17:Y17"/>
  </mergeCells>
  <pageMargins left="0.75" right="0.75" top="1" bottom="1" header="0.511811023622047" footer="0.511811023622047"/>
  <pageSetup paperSize="9" orientation="portrait" horizontalDpi="300" verticalDpi="300"/>
  <ignoredErrors>
    <ignoredError sqref="F50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5"/>
  <sheetViews>
    <sheetView showGridLines="0" topLeftCell="A4" zoomScale="115" zoomScaleNormal="115" workbookViewId="0">
      <selection activeCell="F9" sqref="F9"/>
    </sheetView>
  </sheetViews>
  <sheetFormatPr defaultColWidth="8.7109375" defaultRowHeight="15" x14ac:dyDescent="0.25"/>
  <cols>
    <col min="1" max="1" width="12" style="1" customWidth="1"/>
    <col min="2" max="2" width="16" style="1" customWidth="1"/>
    <col min="3" max="3" width="14" style="1" customWidth="1"/>
    <col min="4" max="4" width="20" style="1" customWidth="1"/>
    <col min="5" max="6" width="14" style="1" customWidth="1"/>
    <col min="7" max="7" width="16" style="1" customWidth="1"/>
    <col min="8" max="8" width="24" style="1" customWidth="1"/>
    <col min="9" max="12" width="8.7109375" style="1"/>
  </cols>
  <sheetData>
    <row r="1" spans="1:13" ht="25.5" customHeight="1" x14ac:dyDescent="0.25">
      <c r="A1" s="92" t="s">
        <v>129</v>
      </c>
      <c r="B1" s="92"/>
      <c r="C1" s="92"/>
      <c r="D1" s="92"/>
      <c r="E1" s="92"/>
      <c r="F1" s="92"/>
      <c r="G1" s="92"/>
      <c r="H1" s="92"/>
      <c r="I1" s="35"/>
      <c r="J1" s="35"/>
      <c r="K1" s="35"/>
      <c r="L1" s="35"/>
    </row>
    <row r="2" spans="1:13" ht="18" customHeight="1" x14ac:dyDescent="0.25">
      <c r="A2" s="93" t="s">
        <v>130</v>
      </c>
      <c r="B2" s="93"/>
      <c r="C2" s="93"/>
      <c r="D2" s="93"/>
      <c r="E2" s="93"/>
      <c r="F2" s="93"/>
      <c r="G2" s="93"/>
      <c r="H2" s="93"/>
      <c r="I2" s="35"/>
      <c r="J2" s="35"/>
      <c r="K2" s="35"/>
      <c r="L2" s="35"/>
    </row>
    <row r="3" spans="1:13" ht="15" customHeight="1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3" ht="30" customHeight="1" x14ac:dyDescent="0.25">
      <c r="A4" s="104" t="s">
        <v>131</v>
      </c>
      <c r="B4" s="104"/>
      <c r="C4" s="104"/>
      <c r="D4" s="104"/>
      <c r="E4" s="104"/>
      <c r="F4" s="104"/>
      <c r="G4" s="104"/>
      <c r="H4" s="104"/>
      <c r="I4" s="35"/>
      <c r="J4" s="35"/>
      <c r="K4" s="35"/>
      <c r="L4" s="35"/>
    </row>
    <row r="5" spans="1:13" ht="15" customHeight="1" x14ac:dyDescent="0.2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13" ht="15" customHeight="1" x14ac:dyDescent="0.25">
      <c r="A6" s="19" t="s">
        <v>67</v>
      </c>
      <c r="B6" s="19" t="s">
        <v>132</v>
      </c>
      <c r="C6" s="19" t="s">
        <v>133</v>
      </c>
      <c r="D6" s="19" t="s">
        <v>69</v>
      </c>
      <c r="E6" s="19" t="s">
        <v>68</v>
      </c>
      <c r="F6" s="19" t="s">
        <v>70</v>
      </c>
      <c r="G6" s="19" t="s">
        <v>134</v>
      </c>
      <c r="H6" s="19" t="s">
        <v>135</v>
      </c>
      <c r="I6" s="35"/>
      <c r="J6" s="35"/>
      <c r="K6" s="35"/>
      <c r="L6" s="35"/>
    </row>
    <row r="7" spans="1:13" s="34" customFormat="1" ht="24.75" customHeight="1" x14ac:dyDescent="0.25">
      <c r="A7" s="36" t="s">
        <v>162</v>
      </c>
      <c r="B7" s="36">
        <v>9150854821</v>
      </c>
      <c r="C7" s="36" t="s">
        <v>163</v>
      </c>
      <c r="D7" s="36" t="s">
        <v>164</v>
      </c>
      <c r="E7" s="37" t="s">
        <v>140</v>
      </c>
      <c r="F7" s="36"/>
      <c r="G7" s="36"/>
      <c r="H7" s="36" t="s">
        <v>174</v>
      </c>
      <c r="I7" s="35"/>
      <c r="J7" s="35"/>
      <c r="K7" s="35"/>
      <c r="L7" s="35"/>
      <c r="M7" s="38"/>
    </row>
    <row r="8" spans="1:13" s="34" customFormat="1" ht="24.75" customHeight="1" x14ac:dyDescent="0.25">
      <c r="A8" s="36" t="s">
        <v>165</v>
      </c>
      <c r="B8" s="36">
        <v>6383071590</v>
      </c>
      <c r="C8" s="36" t="s">
        <v>166</v>
      </c>
      <c r="D8" s="36" t="s">
        <v>164</v>
      </c>
      <c r="E8" s="37" t="s">
        <v>141</v>
      </c>
      <c r="F8" s="36"/>
      <c r="G8" s="36"/>
      <c r="H8" s="36" t="s">
        <v>175</v>
      </c>
      <c r="I8" s="35"/>
      <c r="J8" s="35"/>
      <c r="K8" s="35"/>
      <c r="L8" s="35"/>
      <c r="M8" s="38"/>
    </row>
    <row r="9" spans="1:13" s="34" customFormat="1" ht="24.75" customHeight="1" x14ac:dyDescent="0.25">
      <c r="A9" s="36" t="s">
        <v>167</v>
      </c>
      <c r="B9" s="36">
        <v>9626992749</v>
      </c>
      <c r="C9" s="36" t="s">
        <v>168</v>
      </c>
      <c r="D9" s="36" t="s">
        <v>164</v>
      </c>
      <c r="E9" s="37" t="s">
        <v>140</v>
      </c>
      <c r="F9" s="36"/>
      <c r="G9" s="36"/>
      <c r="H9" s="36" t="s">
        <v>174</v>
      </c>
      <c r="I9" s="35"/>
      <c r="J9" s="35"/>
      <c r="K9" s="35"/>
      <c r="L9" s="35"/>
      <c r="M9" s="38"/>
    </row>
    <row r="10" spans="1:13" ht="15" customHeight="1" x14ac:dyDescent="0.25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13" ht="15" customHeight="1" x14ac:dyDescent="0.25">
      <c r="A11" s="23" t="s">
        <v>78</v>
      </c>
      <c r="B11" s="24" t="s">
        <v>79</v>
      </c>
      <c r="C11" s="35"/>
      <c r="D11" s="35"/>
      <c r="E11" s="35"/>
      <c r="F11" s="35"/>
      <c r="G11" s="35"/>
      <c r="H11" s="35"/>
      <c r="I11" s="35"/>
      <c r="J11" s="35"/>
      <c r="K11" s="35"/>
      <c r="L11" s="35"/>
    </row>
    <row r="12" spans="1:13" ht="15" customHeight="1" x14ac:dyDescent="0.2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</row>
    <row r="13" spans="1:13" ht="15" customHeight="1" x14ac:dyDescent="0.25">
      <c r="A13" s="18" t="s">
        <v>138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13" ht="15" customHeight="1" x14ac:dyDescent="0.25">
      <c r="A14" s="39" t="s">
        <v>75</v>
      </c>
      <c r="B14" s="39" t="s">
        <v>139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spans="1:13" ht="15" customHeight="1" x14ac:dyDescent="0.25">
      <c r="A15" s="20" t="s">
        <v>140</v>
      </c>
      <c r="B15" s="40">
        <f>COUNTIF($E$7:$E$9,A15)</f>
        <v>2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13" ht="15" customHeight="1" x14ac:dyDescent="0.25">
      <c r="A16" s="20" t="s">
        <v>141</v>
      </c>
      <c r="B16" s="40">
        <f>COUNTIF($E$7:$E$9,A16)</f>
        <v>1</v>
      </c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spans="1:12" ht="15" customHeight="1" x14ac:dyDescent="0.25">
      <c r="A17" s="20" t="s">
        <v>137</v>
      </c>
      <c r="B17" s="40">
        <f>COUNTIF($E$7:$E$9,A17)</f>
        <v>0</v>
      </c>
      <c r="C17" s="35"/>
      <c r="D17" s="35"/>
      <c r="E17" s="35"/>
      <c r="F17" s="35"/>
      <c r="G17" s="35"/>
      <c r="H17" s="35"/>
      <c r="I17" s="35"/>
      <c r="J17" s="35"/>
      <c r="K17" s="35"/>
      <c r="L17" s="35"/>
    </row>
    <row r="18" spans="1:12" ht="15" customHeight="1" x14ac:dyDescent="0.25">
      <c r="A18" s="20" t="s">
        <v>136</v>
      </c>
      <c r="B18" s="40">
        <f>COUNTIF($E$7:$E$9,A18)</f>
        <v>0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spans="1:12" ht="15" customHeight="1" x14ac:dyDescent="0.2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spans="1:12" ht="15" customHeight="1" x14ac:dyDescent="0.25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spans="1:12" ht="15" customHeight="1" x14ac:dyDescent="0.25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spans="1:12" ht="15" customHeight="1" x14ac:dyDescent="0.25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spans="1:12" ht="15" customHeight="1" x14ac:dyDescent="0.25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2" ht="15" customHeight="1" x14ac:dyDescent="0.25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spans="1:12" ht="15" customHeight="1" x14ac:dyDescent="0.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2" ht="15" customHeight="1" x14ac:dyDescent="0.2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spans="1:12" ht="15" customHeight="1" x14ac:dyDescent="0.25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2" ht="15" customHeight="1" x14ac:dyDescent="0.25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spans="1:12" ht="15" customHeight="1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spans="1:12" ht="15" customHeight="1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spans="1:12" ht="15" customHeight="1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</row>
    <row r="32" spans="1:12" ht="15" customHeight="1" x14ac:dyDescent="0.25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spans="1:12" ht="15" customHeight="1" x14ac:dyDescent="0.25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spans="1:12" ht="15" customHeight="1" x14ac:dyDescent="0.25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spans="1:12" ht="15" customHeight="1" x14ac:dyDescent="0.2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</row>
    <row r="36" spans="1:12" ht="15" customHeight="1" x14ac:dyDescent="0.25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spans="1:12" ht="15" customHeight="1" x14ac:dyDescent="0.25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2" ht="15" customHeight="1" x14ac:dyDescent="0.25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spans="1:12" ht="15" customHeight="1" x14ac:dyDescent="0.25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</row>
    <row r="40" spans="1:12" ht="15" customHeight="1" x14ac:dyDescent="0.2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spans="1:12" ht="15" customHeight="1" x14ac:dyDescent="0.2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</row>
    <row r="42" spans="1:12" ht="15" customHeight="1" x14ac:dyDescent="0.2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spans="1:12" ht="15" customHeight="1" x14ac:dyDescent="0.25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spans="1:12" ht="15" customHeight="1" x14ac:dyDescent="0.25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2" ht="15" customHeight="1" x14ac:dyDescent="0.2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</row>
    <row r="46" spans="1:12" ht="15" customHeight="1" x14ac:dyDescent="0.25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spans="1:12" ht="15" customHeight="1" x14ac:dyDescent="0.25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</row>
    <row r="48" spans="1:12" ht="15" customHeight="1" x14ac:dyDescent="0.25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15" customHeight="1" x14ac:dyDescent="0.25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15" customHeight="1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spans="1:12" ht="15" customHeight="1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ht="15" customHeight="1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spans="1:12" ht="15" customHeight="1" x14ac:dyDescent="0.25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</row>
    <row r="54" spans="1:12" ht="15" customHeight="1" x14ac:dyDescent="0.2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spans="1:12" ht="15" customHeight="1" x14ac:dyDescent="0.2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</row>
    <row r="56" spans="1:12" ht="15" customHeight="1" x14ac:dyDescent="0.25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spans="1:12" ht="15" customHeight="1" x14ac:dyDescent="0.25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</row>
    <row r="58" spans="1:12" ht="15" customHeight="1" x14ac:dyDescent="0.25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15" customHeight="1" x14ac:dyDescent="0.25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15" customHeight="1" x14ac:dyDescent="0.25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15" customHeight="1" x14ac:dyDescent="0.25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15" customHeight="1" x14ac:dyDescent="0.25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15" customHeight="1" x14ac:dyDescent="0.25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</row>
    <row r="64" spans="1:12" ht="15" customHeight="1" x14ac:dyDescent="0.25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spans="1:12" ht="15" customHeight="1" x14ac:dyDescent="0.2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</row>
    <row r="66" spans="1:12" ht="15" customHeight="1" x14ac:dyDescent="0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spans="1:12" ht="15" customHeight="1" x14ac:dyDescent="0.25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</row>
    <row r="68" spans="1:12" ht="15" customHeight="1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12" ht="15" customHeight="1" x14ac:dyDescent="0.2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12" ht="15.75" customHeight="1" x14ac:dyDescent="0.2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12" ht="30" customHeight="1" x14ac:dyDescent="0.2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ht="15" customHeight="1" x14ac:dyDescent="0.2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 ht="15" customHeight="1" x14ac:dyDescent="0.2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 ht="15" customHeight="1" x14ac:dyDescent="0.2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12" ht="15" customHeight="1" x14ac:dyDescent="0.2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12" ht="15" customHeight="1" x14ac:dyDescent="0.2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12" ht="15" customHeight="1" x14ac:dyDescent="0.2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12" ht="15" customHeight="1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12" ht="21.75" customHeight="1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12" ht="15" customHeight="1" x14ac:dyDescent="0.2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30" customHeight="1" x14ac:dyDescent="0.2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" customHeight="1" x14ac:dyDescent="0.2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" customHeight="1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" customHeight="1" x14ac:dyDescent="0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" customHeight="1" x14ac:dyDescent="0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" customHeight="1" x14ac:dyDescent="0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.75" customHeight="1" x14ac:dyDescent="0.2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30" customHeight="1" x14ac:dyDescent="0.2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" customHeight="1" x14ac:dyDescent="0.2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" customHeight="1" x14ac:dyDescent="0.2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" customHeight="1" x14ac:dyDescent="0.2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" customHeight="1" x14ac:dyDescent="0.2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" customHeight="1" x14ac:dyDescent="0.2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" customHeight="1" x14ac:dyDescent="0.2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" customHeight="1" x14ac:dyDescent="0.2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</sheetData>
  <mergeCells count="3">
    <mergeCell ref="A1:H1"/>
    <mergeCell ref="A2:H2"/>
    <mergeCell ref="A4:H4"/>
  </mergeCells>
  <dataValidations count="1">
    <dataValidation type="list" allowBlank="1" showInputMessage="1" showErrorMessage="1" sqref="E7:E9">
      <formula1>"In-Transit,Loading,Unloading,Idle"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R95"/>
  <sheetViews>
    <sheetView showGridLines="0" topLeftCell="A10" zoomScaleNormal="100" workbookViewId="0">
      <selection activeCell="D18" sqref="D18"/>
    </sheetView>
  </sheetViews>
  <sheetFormatPr defaultColWidth="8.7109375" defaultRowHeight="15" x14ac:dyDescent="0.25"/>
  <cols>
    <col min="1" max="1" width="20" style="1" customWidth="1"/>
    <col min="2" max="3" width="12.7109375" style="1" customWidth="1"/>
    <col min="4" max="5" width="11" style="1" customWidth="1"/>
    <col min="6" max="6" width="19.28515625" style="1" customWidth="1"/>
    <col min="7" max="13" width="11" style="1" customWidth="1"/>
    <col min="15" max="96" width="8.7109375" style="1"/>
  </cols>
  <sheetData>
    <row r="1" spans="1:96" ht="25.5" customHeight="1" x14ac:dyDescent="0.25">
      <c r="A1" s="92" t="s">
        <v>142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35"/>
    </row>
    <row r="2" spans="1:96" ht="18" customHeight="1" thickBot="1" x14ac:dyDescent="0.3">
      <c r="A2" s="93" t="s">
        <v>143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35"/>
    </row>
    <row r="3" spans="1:96" ht="27.75" customHeight="1" thickBot="1" x14ac:dyDescent="0.3">
      <c r="A3" s="61" t="s">
        <v>156</v>
      </c>
      <c r="B3" s="59"/>
      <c r="C3" s="106"/>
      <c r="D3" s="107"/>
      <c r="E3" s="108"/>
      <c r="F3" s="61" t="s">
        <v>157</v>
      </c>
      <c r="G3" s="60"/>
      <c r="H3" s="57" t="s">
        <v>155</v>
      </c>
      <c r="I3" s="35"/>
      <c r="J3" s="35"/>
      <c r="K3" s="35"/>
      <c r="L3" s="35"/>
      <c r="M3" s="35"/>
      <c r="N3" s="35"/>
    </row>
    <row r="4" spans="1:96" ht="15.75" customHeight="1" x14ac:dyDescent="0.25">
      <c r="A4" s="105" t="s">
        <v>107</v>
      </c>
      <c r="B4" s="105" t="s">
        <v>158</v>
      </c>
      <c r="C4" s="105"/>
      <c r="D4" s="105" t="s">
        <v>159</v>
      </c>
      <c r="E4" s="105"/>
      <c r="F4" s="105" t="s">
        <v>28</v>
      </c>
      <c r="G4" s="105"/>
      <c r="H4" s="105" t="s">
        <v>29</v>
      </c>
      <c r="I4" s="105"/>
      <c r="J4" s="105" t="s">
        <v>30</v>
      </c>
      <c r="K4" s="105"/>
      <c r="L4" s="105" t="s">
        <v>144</v>
      </c>
      <c r="M4" s="105" t="s">
        <v>145</v>
      </c>
      <c r="N4" s="35"/>
    </row>
    <row r="5" spans="1:96" ht="27.75" customHeight="1" x14ac:dyDescent="0.25">
      <c r="A5" s="105"/>
      <c r="B5" s="19" t="s">
        <v>146</v>
      </c>
      <c r="C5" s="19" t="s">
        <v>147</v>
      </c>
      <c r="D5" s="19" t="s">
        <v>146</v>
      </c>
      <c r="E5" s="19" t="s">
        <v>147</v>
      </c>
      <c r="F5" s="19" t="s">
        <v>146</v>
      </c>
      <c r="G5" s="19" t="s">
        <v>147</v>
      </c>
      <c r="H5" s="19" t="s">
        <v>146</v>
      </c>
      <c r="I5" s="19" t="s">
        <v>147</v>
      </c>
      <c r="J5" s="19" t="s">
        <v>146</v>
      </c>
      <c r="K5" s="19" t="s">
        <v>147</v>
      </c>
      <c r="L5" s="105"/>
      <c r="M5" s="105"/>
      <c r="N5" s="35"/>
    </row>
    <row r="6" spans="1:96" s="34" customFormat="1" ht="24.75" customHeight="1" x14ac:dyDescent="0.25">
      <c r="A6" s="41">
        <v>46235</v>
      </c>
      <c r="B6" s="42"/>
      <c r="C6" s="42"/>
      <c r="D6" s="42">
        <v>2</v>
      </c>
      <c r="E6" s="42">
        <v>17.079999999999998</v>
      </c>
      <c r="F6" s="42">
        <v>7</v>
      </c>
      <c r="G6" s="42">
        <v>170.28</v>
      </c>
      <c r="H6" s="42"/>
      <c r="I6" s="42"/>
      <c r="J6" s="42"/>
      <c r="K6" s="42"/>
      <c r="L6" s="42">
        <f>B6+D6+F6+H6+J6</f>
        <v>9</v>
      </c>
      <c r="M6" s="42">
        <f t="shared" ref="M6:M37" si="0">E6+G6+I6+K6</f>
        <v>187.36</v>
      </c>
      <c r="N6" s="43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</row>
    <row r="7" spans="1:96" s="34" customFormat="1" ht="24.75" customHeight="1" x14ac:dyDescent="0.25">
      <c r="A7" s="41">
        <v>46236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>
        <f t="shared" ref="L7:L67" si="1">B7+D7+F7+H7+J7</f>
        <v>0</v>
      </c>
      <c r="M7" s="42">
        <f t="shared" si="0"/>
        <v>0</v>
      </c>
      <c r="N7" s="43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</row>
    <row r="8" spans="1:96" s="34" customFormat="1" ht="24.75" customHeight="1" x14ac:dyDescent="0.25">
      <c r="A8" s="41">
        <v>46237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>
        <f t="shared" si="1"/>
        <v>0</v>
      </c>
      <c r="M8" s="42">
        <f t="shared" si="0"/>
        <v>0</v>
      </c>
      <c r="N8" s="43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</row>
    <row r="9" spans="1:96" s="34" customFormat="1" ht="24.75" customHeight="1" x14ac:dyDescent="0.25">
      <c r="A9" s="41">
        <v>46238</v>
      </c>
      <c r="B9" s="42">
        <v>1</v>
      </c>
      <c r="C9" s="42">
        <v>10.77</v>
      </c>
      <c r="D9" s="42">
        <v>4</v>
      </c>
      <c r="E9" s="42">
        <v>22.01</v>
      </c>
      <c r="F9" s="42">
        <v>7</v>
      </c>
      <c r="G9" s="42">
        <v>188.53</v>
      </c>
      <c r="H9" s="42">
        <v>3</v>
      </c>
      <c r="I9" s="42">
        <v>28.37</v>
      </c>
      <c r="J9" s="42"/>
      <c r="K9" s="42"/>
      <c r="L9" s="42">
        <f t="shared" si="1"/>
        <v>15</v>
      </c>
      <c r="M9" s="42">
        <f t="shared" si="0"/>
        <v>238.91</v>
      </c>
      <c r="N9" s="43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</row>
    <row r="10" spans="1:96" s="34" customFormat="1" ht="24.75" customHeight="1" x14ac:dyDescent="0.25">
      <c r="A10" s="41">
        <v>46239</v>
      </c>
      <c r="B10" s="42">
        <v>1</v>
      </c>
      <c r="C10" s="42">
        <v>10.119999999999999</v>
      </c>
      <c r="D10" s="42">
        <v>7</v>
      </c>
      <c r="E10" s="42">
        <v>45.4</v>
      </c>
      <c r="F10" s="42">
        <v>3</v>
      </c>
      <c r="G10" s="42">
        <v>66.09</v>
      </c>
      <c r="H10" s="42">
        <v>6</v>
      </c>
      <c r="I10" s="42">
        <v>67.23</v>
      </c>
      <c r="J10" s="42"/>
      <c r="K10" s="42"/>
      <c r="L10" s="42">
        <f t="shared" si="1"/>
        <v>17</v>
      </c>
      <c r="M10" s="42">
        <f t="shared" si="0"/>
        <v>178.72000000000003</v>
      </c>
      <c r="N10" s="43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</row>
    <row r="11" spans="1:96" s="34" customFormat="1" ht="24.75" customHeight="1" x14ac:dyDescent="0.25">
      <c r="A11" s="41">
        <v>46240</v>
      </c>
      <c r="B11" s="42">
        <v>1</v>
      </c>
      <c r="C11" s="42">
        <v>10.51</v>
      </c>
      <c r="D11" s="42">
        <v>8</v>
      </c>
      <c r="E11" s="42">
        <v>78.25</v>
      </c>
      <c r="F11" s="42">
        <v>10</v>
      </c>
      <c r="G11" s="42">
        <v>295.29000000000002</v>
      </c>
      <c r="H11" s="42">
        <v>5</v>
      </c>
      <c r="I11" s="42">
        <v>71.099999999999994</v>
      </c>
      <c r="J11" s="42"/>
      <c r="K11" s="42"/>
      <c r="L11" s="42">
        <f t="shared" si="1"/>
        <v>24</v>
      </c>
      <c r="M11" s="42">
        <f t="shared" si="0"/>
        <v>444.64</v>
      </c>
      <c r="N11" s="43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</row>
    <row r="12" spans="1:96" s="34" customFormat="1" ht="24.75" customHeight="1" x14ac:dyDescent="0.25">
      <c r="A12" s="41">
        <v>46241</v>
      </c>
      <c r="B12" s="42">
        <v>1</v>
      </c>
      <c r="C12" s="42">
        <v>0.65</v>
      </c>
      <c r="D12" s="42">
        <v>6</v>
      </c>
      <c r="E12" s="42">
        <v>41.98</v>
      </c>
      <c r="F12" s="42">
        <v>3</v>
      </c>
      <c r="G12" s="42">
        <v>70.069999999999993</v>
      </c>
      <c r="H12" s="42">
        <v>6</v>
      </c>
      <c r="I12" s="42">
        <v>66.150000000000006</v>
      </c>
      <c r="J12" s="42"/>
      <c r="K12" s="42"/>
      <c r="L12" s="42">
        <f t="shared" si="1"/>
        <v>16</v>
      </c>
      <c r="M12" s="42">
        <f t="shared" si="0"/>
        <v>178.2</v>
      </c>
      <c r="N12" s="4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</row>
    <row r="13" spans="1:96" s="34" customFormat="1" ht="24.75" customHeight="1" x14ac:dyDescent="0.25">
      <c r="A13" s="41">
        <v>46242</v>
      </c>
      <c r="B13" s="42">
        <v>2</v>
      </c>
      <c r="C13" s="42">
        <v>16.95</v>
      </c>
      <c r="D13" s="42">
        <v>11</v>
      </c>
      <c r="E13" s="42">
        <v>144.83000000000001</v>
      </c>
      <c r="F13" s="42"/>
      <c r="G13" s="42"/>
      <c r="H13" s="42">
        <v>3</v>
      </c>
      <c r="I13" s="42">
        <v>21.71</v>
      </c>
      <c r="J13" s="42"/>
      <c r="K13" s="42"/>
      <c r="L13" s="42">
        <f t="shared" si="1"/>
        <v>16</v>
      </c>
      <c r="M13" s="42">
        <f t="shared" si="0"/>
        <v>166.54000000000002</v>
      </c>
      <c r="N13" s="4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</row>
    <row r="14" spans="1:96" s="34" customFormat="1" ht="24.75" customHeight="1" x14ac:dyDescent="0.25">
      <c r="A14" s="41">
        <v>46243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>
        <f t="shared" si="1"/>
        <v>0</v>
      </c>
      <c r="M14" s="42">
        <f t="shared" si="0"/>
        <v>0</v>
      </c>
      <c r="N14" s="43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</row>
    <row r="15" spans="1:96" s="34" customFormat="1" ht="24.75" customHeight="1" x14ac:dyDescent="0.25">
      <c r="A15" s="41">
        <v>46244</v>
      </c>
      <c r="B15" s="42">
        <v>12</v>
      </c>
      <c r="C15" s="42">
        <v>175.85</v>
      </c>
      <c r="D15" s="42">
        <v>12</v>
      </c>
      <c r="E15" s="42">
        <v>176.21</v>
      </c>
      <c r="F15" s="42">
        <v>1</v>
      </c>
      <c r="G15" s="42">
        <v>25.02</v>
      </c>
      <c r="H15" s="42">
        <v>6</v>
      </c>
      <c r="I15" s="42">
        <v>61.18</v>
      </c>
      <c r="J15" s="42"/>
      <c r="K15" s="42"/>
      <c r="L15" s="42">
        <f t="shared" si="1"/>
        <v>31</v>
      </c>
      <c r="M15" s="42">
        <f t="shared" si="0"/>
        <v>262.41000000000003</v>
      </c>
      <c r="N15" s="43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</row>
    <row r="16" spans="1:96" s="34" customFormat="1" ht="24.75" customHeight="1" x14ac:dyDescent="0.25">
      <c r="A16" s="41">
        <v>46245</v>
      </c>
      <c r="B16" s="42">
        <v>15</v>
      </c>
      <c r="C16" s="42">
        <v>93.85</v>
      </c>
      <c r="D16" s="42"/>
      <c r="E16" s="42"/>
      <c r="F16" s="42"/>
      <c r="G16" s="42"/>
      <c r="H16" s="42">
        <v>7</v>
      </c>
      <c r="I16" s="42">
        <v>89.95</v>
      </c>
      <c r="J16" s="42"/>
      <c r="K16" s="42"/>
      <c r="L16" s="42">
        <f t="shared" si="1"/>
        <v>22</v>
      </c>
      <c r="M16" s="42">
        <f t="shared" si="0"/>
        <v>89.95</v>
      </c>
      <c r="N16" s="4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</row>
    <row r="17" spans="1:96" s="34" customFormat="1" ht="24.75" customHeight="1" x14ac:dyDescent="0.25">
      <c r="A17" s="41">
        <v>46246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>
        <f t="shared" si="1"/>
        <v>0</v>
      </c>
      <c r="M17" s="42">
        <f t="shared" si="0"/>
        <v>0</v>
      </c>
      <c r="N17" s="4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</row>
    <row r="18" spans="1:96" s="34" customFormat="1" ht="24.75" customHeight="1" x14ac:dyDescent="0.25">
      <c r="A18" s="41">
        <v>46247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>
        <f t="shared" si="1"/>
        <v>0</v>
      </c>
      <c r="M18" s="42">
        <f t="shared" si="0"/>
        <v>0</v>
      </c>
      <c r="N18" s="4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</row>
    <row r="19" spans="1:96" s="34" customFormat="1" ht="24.75" customHeight="1" x14ac:dyDescent="0.25">
      <c r="A19" s="41">
        <v>46248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>
        <f t="shared" si="1"/>
        <v>0</v>
      </c>
      <c r="M19" s="42">
        <f t="shared" si="0"/>
        <v>0</v>
      </c>
      <c r="N19" s="4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</row>
    <row r="20" spans="1:96" s="34" customFormat="1" ht="24.75" customHeight="1" x14ac:dyDescent="0.25">
      <c r="A20" s="41">
        <v>46249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>
        <f t="shared" si="1"/>
        <v>0</v>
      </c>
      <c r="M20" s="42">
        <f t="shared" si="0"/>
        <v>0</v>
      </c>
      <c r="N20" s="4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</row>
    <row r="21" spans="1:96" s="34" customFormat="1" ht="24.75" customHeight="1" x14ac:dyDescent="0.25">
      <c r="A21" s="41">
        <v>46250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>
        <f t="shared" si="1"/>
        <v>0</v>
      </c>
      <c r="M21" s="42">
        <f t="shared" si="0"/>
        <v>0</v>
      </c>
      <c r="N21" s="4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</row>
    <row r="22" spans="1:96" s="34" customFormat="1" ht="24.75" customHeight="1" x14ac:dyDescent="0.25">
      <c r="A22" s="41">
        <v>46251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>
        <f t="shared" si="1"/>
        <v>0</v>
      </c>
      <c r="M22" s="42">
        <f t="shared" si="0"/>
        <v>0</v>
      </c>
      <c r="N22" s="4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</row>
    <row r="23" spans="1:96" s="34" customFormat="1" ht="24.75" customHeight="1" x14ac:dyDescent="0.25">
      <c r="A23" s="41">
        <v>46252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>
        <f t="shared" si="1"/>
        <v>0</v>
      </c>
      <c r="M23" s="42">
        <f t="shared" si="0"/>
        <v>0</v>
      </c>
      <c r="N23" s="4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</row>
    <row r="24" spans="1:96" s="34" customFormat="1" ht="24.75" customHeight="1" x14ac:dyDescent="0.25">
      <c r="A24" s="41">
        <v>46253</v>
      </c>
      <c r="B24" s="42"/>
      <c r="C24" s="42"/>
      <c r="D24" s="44"/>
      <c r="E24" s="45"/>
      <c r="F24" s="42"/>
      <c r="G24" s="42"/>
      <c r="H24" s="44"/>
      <c r="I24" s="45"/>
      <c r="J24" s="44"/>
      <c r="K24" s="45"/>
      <c r="L24" s="42">
        <f t="shared" si="1"/>
        <v>0</v>
      </c>
      <c r="M24" s="42">
        <f t="shared" si="0"/>
        <v>0</v>
      </c>
      <c r="N24" s="46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</row>
    <row r="25" spans="1:96" s="34" customFormat="1" ht="24.75" customHeight="1" x14ac:dyDescent="0.25">
      <c r="A25" s="41">
        <v>46254</v>
      </c>
      <c r="B25" s="42"/>
      <c r="C25" s="42"/>
      <c r="D25" s="47"/>
      <c r="E25" s="48"/>
      <c r="F25" s="42"/>
      <c r="G25" s="42"/>
      <c r="H25" s="47"/>
      <c r="I25" s="48"/>
      <c r="J25" s="47"/>
      <c r="K25" s="48"/>
      <c r="L25" s="42">
        <f t="shared" si="1"/>
        <v>0</v>
      </c>
      <c r="M25" s="42">
        <f t="shared" si="0"/>
        <v>0</v>
      </c>
      <c r="N25" s="4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</row>
    <row r="26" spans="1:96" s="34" customFormat="1" ht="24.75" customHeight="1" x14ac:dyDescent="0.25">
      <c r="A26" s="41">
        <v>46255</v>
      </c>
      <c r="B26" s="42"/>
      <c r="C26" s="42"/>
      <c r="D26" s="47"/>
      <c r="E26" s="48"/>
      <c r="F26" s="42"/>
      <c r="G26" s="42"/>
      <c r="H26" s="47"/>
      <c r="I26" s="48"/>
      <c r="J26" s="47"/>
      <c r="K26" s="48"/>
      <c r="L26" s="42">
        <f t="shared" si="1"/>
        <v>0</v>
      </c>
      <c r="M26" s="42">
        <f t="shared" si="0"/>
        <v>0</v>
      </c>
      <c r="N26" s="46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</row>
    <row r="27" spans="1:96" s="34" customFormat="1" ht="24.75" customHeight="1" x14ac:dyDescent="0.25">
      <c r="A27" s="41">
        <v>46256</v>
      </c>
      <c r="B27" s="42"/>
      <c r="C27" s="42"/>
      <c r="D27" s="47"/>
      <c r="E27" s="48"/>
      <c r="F27" s="47"/>
      <c r="G27" s="48"/>
      <c r="H27" s="47"/>
      <c r="I27" s="48"/>
      <c r="J27" s="47"/>
      <c r="K27" s="48"/>
      <c r="L27" s="42">
        <f t="shared" si="1"/>
        <v>0</v>
      </c>
      <c r="M27" s="42">
        <f t="shared" si="0"/>
        <v>0</v>
      </c>
      <c r="N27" s="46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</row>
    <row r="28" spans="1:96" s="34" customFormat="1" ht="24.75" customHeight="1" x14ac:dyDescent="0.25">
      <c r="A28" s="41">
        <v>46257</v>
      </c>
      <c r="B28" s="42"/>
      <c r="C28" s="42"/>
      <c r="D28" s="47"/>
      <c r="E28" s="48"/>
      <c r="F28" s="47"/>
      <c r="G28" s="48"/>
      <c r="H28" s="47"/>
      <c r="I28" s="48"/>
      <c r="J28" s="47"/>
      <c r="K28" s="48"/>
      <c r="L28" s="42">
        <f t="shared" si="1"/>
        <v>0</v>
      </c>
      <c r="M28" s="42">
        <f t="shared" si="0"/>
        <v>0</v>
      </c>
      <c r="N28" s="4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</row>
    <row r="29" spans="1:96" s="34" customFormat="1" ht="24.75" customHeight="1" x14ac:dyDescent="0.25">
      <c r="A29" s="41">
        <v>46258</v>
      </c>
      <c r="B29" s="42"/>
      <c r="C29" s="42"/>
      <c r="D29" s="47"/>
      <c r="E29" s="48"/>
      <c r="F29" s="47"/>
      <c r="G29" s="48"/>
      <c r="H29" s="47"/>
      <c r="I29" s="48"/>
      <c r="J29" s="47"/>
      <c r="K29" s="48"/>
      <c r="L29" s="42">
        <f t="shared" si="1"/>
        <v>0</v>
      </c>
      <c r="M29" s="42">
        <f t="shared" si="0"/>
        <v>0</v>
      </c>
      <c r="N29" s="46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</row>
    <row r="30" spans="1:96" s="34" customFormat="1" ht="24.75" customHeight="1" x14ac:dyDescent="0.25">
      <c r="A30" s="41">
        <v>46259</v>
      </c>
      <c r="B30" s="42"/>
      <c r="C30" s="42"/>
      <c r="D30" s="47"/>
      <c r="E30" s="48"/>
      <c r="F30" s="47"/>
      <c r="G30" s="48"/>
      <c r="H30" s="47"/>
      <c r="I30" s="48"/>
      <c r="J30" s="47"/>
      <c r="K30" s="48"/>
      <c r="L30" s="42">
        <f t="shared" si="1"/>
        <v>0</v>
      </c>
      <c r="M30" s="42">
        <f t="shared" si="0"/>
        <v>0</v>
      </c>
      <c r="N30" s="46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</row>
    <row r="31" spans="1:96" s="34" customFormat="1" ht="24.75" customHeight="1" x14ac:dyDescent="0.25">
      <c r="A31" s="41">
        <v>46260</v>
      </c>
      <c r="B31" s="42"/>
      <c r="C31" s="42"/>
      <c r="D31" s="47"/>
      <c r="E31" s="48"/>
      <c r="F31" s="47"/>
      <c r="G31" s="48"/>
      <c r="H31" s="47"/>
      <c r="I31" s="48"/>
      <c r="J31" s="47"/>
      <c r="K31" s="48"/>
      <c r="L31" s="42">
        <f t="shared" si="1"/>
        <v>0</v>
      </c>
      <c r="M31" s="42">
        <f t="shared" si="0"/>
        <v>0</v>
      </c>
      <c r="N31" s="46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</row>
    <row r="32" spans="1:96" s="34" customFormat="1" ht="24.75" customHeight="1" x14ac:dyDescent="0.25">
      <c r="A32" s="41">
        <v>46261</v>
      </c>
      <c r="B32" s="42"/>
      <c r="C32" s="42"/>
      <c r="D32" s="47"/>
      <c r="E32" s="48"/>
      <c r="F32" s="47"/>
      <c r="G32" s="48"/>
      <c r="H32" s="47"/>
      <c r="I32" s="48"/>
      <c r="J32" s="47"/>
      <c r="K32" s="48"/>
      <c r="L32" s="42">
        <f t="shared" si="1"/>
        <v>0</v>
      </c>
      <c r="M32" s="42">
        <f t="shared" si="0"/>
        <v>0</v>
      </c>
      <c r="N32" s="46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</row>
    <row r="33" spans="1:96" s="34" customFormat="1" ht="24.75" customHeight="1" x14ac:dyDescent="0.25">
      <c r="A33" s="41">
        <v>46262</v>
      </c>
      <c r="B33" s="42"/>
      <c r="C33" s="42"/>
      <c r="D33" s="47"/>
      <c r="E33" s="48"/>
      <c r="F33" s="47"/>
      <c r="G33" s="48"/>
      <c r="H33" s="47"/>
      <c r="I33" s="48"/>
      <c r="J33" s="47"/>
      <c r="K33" s="48"/>
      <c r="L33" s="42">
        <f t="shared" si="1"/>
        <v>0</v>
      </c>
      <c r="M33" s="42">
        <f t="shared" si="0"/>
        <v>0</v>
      </c>
      <c r="N33" s="46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</row>
    <row r="34" spans="1:96" s="34" customFormat="1" ht="24.75" customHeight="1" x14ac:dyDescent="0.25">
      <c r="A34" s="41">
        <v>46263</v>
      </c>
      <c r="B34" s="42"/>
      <c r="C34" s="42"/>
      <c r="D34" s="47"/>
      <c r="E34" s="48"/>
      <c r="F34" s="47"/>
      <c r="G34" s="48"/>
      <c r="H34" s="47"/>
      <c r="I34" s="48"/>
      <c r="J34" s="47"/>
      <c r="K34" s="48"/>
      <c r="L34" s="42">
        <f t="shared" si="1"/>
        <v>0</v>
      </c>
      <c r="M34" s="42">
        <f t="shared" si="0"/>
        <v>0</v>
      </c>
      <c r="N34" s="46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</row>
    <row r="35" spans="1:96" s="34" customFormat="1" ht="24.75" customHeight="1" x14ac:dyDescent="0.25">
      <c r="A35" s="41">
        <v>46264</v>
      </c>
      <c r="B35" s="42"/>
      <c r="C35" s="42"/>
      <c r="D35" s="47"/>
      <c r="E35" s="48"/>
      <c r="F35" s="47"/>
      <c r="G35" s="48"/>
      <c r="H35" s="47"/>
      <c r="I35" s="48"/>
      <c r="J35" s="47"/>
      <c r="K35" s="48"/>
      <c r="L35" s="42">
        <f t="shared" si="1"/>
        <v>0</v>
      </c>
      <c r="M35" s="42">
        <f t="shared" si="0"/>
        <v>0</v>
      </c>
      <c r="N35" s="46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</row>
    <row r="36" spans="1:96" s="34" customFormat="1" ht="24.75" customHeight="1" thickBot="1" x14ac:dyDescent="0.3">
      <c r="A36" s="41">
        <v>46265</v>
      </c>
      <c r="B36" s="42"/>
      <c r="C36" s="42"/>
      <c r="D36" s="47"/>
      <c r="E36" s="48"/>
      <c r="F36" s="47"/>
      <c r="G36" s="48"/>
      <c r="H36" s="47"/>
      <c r="I36" s="48"/>
      <c r="J36" s="47"/>
      <c r="K36" s="48"/>
      <c r="L36" s="42">
        <f t="shared" si="1"/>
        <v>0</v>
      </c>
      <c r="M36" s="42">
        <f t="shared" si="0"/>
        <v>0</v>
      </c>
      <c r="N36" s="46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</row>
    <row r="37" spans="1:96" s="34" customFormat="1" ht="24.75" hidden="1" customHeight="1" x14ac:dyDescent="0.25">
      <c r="A37" s="49"/>
      <c r="B37" s="49"/>
      <c r="C37" s="49"/>
      <c r="D37" s="47"/>
      <c r="E37" s="48"/>
      <c r="F37" s="47"/>
      <c r="G37" s="48"/>
      <c r="H37" s="47"/>
      <c r="I37" s="48"/>
      <c r="J37" s="47"/>
      <c r="K37" s="48"/>
      <c r="L37" s="42">
        <f t="shared" si="1"/>
        <v>0</v>
      </c>
      <c r="M37" s="51">
        <f t="shared" si="0"/>
        <v>0</v>
      </c>
      <c r="N37" s="46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</row>
    <row r="38" spans="1:96" s="34" customFormat="1" ht="24.75" hidden="1" customHeight="1" x14ac:dyDescent="0.25">
      <c r="A38" s="49"/>
      <c r="B38" s="49"/>
      <c r="C38" s="49"/>
      <c r="D38" s="47"/>
      <c r="E38" s="48"/>
      <c r="F38" s="47"/>
      <c r="G38" s="48"/>
      <c r="H38" s="47"/>
      <c r="I38" s="48"/>
      <c r="J38" s="47"/>
      <c r="K38" s="48"/>
      <c r="L38" s="42">
        <f t="shared" si="1"/>
        <v>0</v>
      </c>
      <c r="M38" s="51">
        <f t="shared" ref="M38:M67" si="2">E38+G38+I38+K38</f>
        <v>0</v>
      </c>
      <c r="N38" s="4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</row>
    <row r="39" spans="1:96" s="34" customFormat="1" ht="24.75" hidden="1" customHeight="1" x14ac:dyDescent="0.25">
      <c r="A39" s="49"/>
      <c r="B39" s="49"/>
      <c r="C39" s="49"/>
      <c r="D39" s="47"/>
      <c r="E39" s="48"/>
      <c r="F39" s="47"/>
      <c r="G39" s="48"/>
      <c r="H39" s="47"/>
      <c r="I39" s="48"/>
      <c r="J39" s="47"/>
      <c r="K39" s="48"/>
      <c r="L39" s="42">
        <f t="shared" si="1"/>
        <v>0</v>
      </c>
      <c r="M39" s="51">
        <f t="shared" si="2"/>
        <v>0</v>
      </c>
      <c r="N39" s="46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</row>
    <row r="40" spans="1:96" s="34" customFormat="1" ht="24.75" hidden="1" customHeight="1" x14ac:dyDescent="0.25">
      <c r="A40" s="49"/>
      <c r="B40" s="49"/>
      <c r="C40" s="49"/>
      <c r="D40" s="47"/>
      <c r="E40" s="48"/>
      <c r="F40" s="47"/>
      <c r="G40" s="48"/>
      <c r="H40" s="47"/>
      <c r="I40" s="48"/>
      <c r="J40" s="47"/>
      <c r="K40" s="48"/>
      <c r="L40" s="42">
        <f t="shared" si="1"/>
        <v>0</v>
      </c>
      <c r="M40" s="51">
        <f t="shared" si="2"/>
        <v>0</v>
      </c>
      <c r="N40" s="46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</row>
    <row r="41" spans="1:96" s="34" customFormat="1" ht="24.75" hidden="1" customHeight="1" x14ac:dyDescent="0.25">
      <c r="A41" s="49"/>
      <c r="B41" s="49"/>
      <c r="C41" s="49"/>
      <c r="D41" s="47"/>
      <c r="E41" s="48"/>
      <c r="F41" s="47"/>
      <c r="G41" s="48"/>
      <c r="H41" s="47"/>
      <c r="I41" s="48"/>
      <c r="J41" s="47"/>
      <c r="K41" s="48"/>
      <c r="L41" s="42">
        <f t="shared" si="1"/>
        <v>0</v>
      </c>
      <c r="M41" s="51">
        <f t="shared" si="2"/>
        <v>0</v>
      </c>
      <c r="N41" s="46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</row>
    <row r="42" spans="1:96" s="34" customFormat="1" ht="24.75" hidden="1" customHeight="1" x14ac:dyDescent="0.25">
      <c r="A42" s="49"/>
      <c r="B42" s="49"/>
      <c r="C42" s="49"/>
      <c r="D42" s="47"/>
      <c r="E42" s="48"/>
      <c r="F42" s="47"/>
      <c r="G42" s="48"/>
      <c r="H42" s="47"/>
      <c r="I42" s="48"/>
      <c r="J42" s="47"/>
      <c r="K42" s="48"/>
      <c r="L42" s="42">
        <f t="shared" si="1"/>
        <v>0</v>
      </c>
      <c r="M42" s="51">
        <f t="shared" si="2"/>
        <v>0</v>
      </c>
      <c r="N42" s="46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</row>
    <row r="43" spans="1:96" s="34" customFormat="1" ht="24.75" hidden="1" customHeight="1" x14ac:dyDescent="0.25">
      <c r="A43" s="49"/>
      <c r="B43" s="49"/>
      <c r="C43" s="49"/>
      <c r="D43" s="47"/>
      <c r="E43" s="48"/>
      <c r="F43" s="47"/>
      <c r="G43" s="48"/>
      <c r="H43" s="47"/>
      <c r="I43" s="48"/>
      <c r="J43" s="47"/>
      <c r="K43" s="48"/>
      <c r="L43" s="42">
        <f t="shared" si="1"/>
        <v>0</v>
      </c>
      <c r="M43" s="51">
        <f t="shared" si="2"/>
        <v>0</v>
      </c>
      <c r="N43" s="46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</row>
    <row r="44" spans="1:96" s="34" customFormat="1" ht="24.75" hidden="1" customHeight="1" x14ac:dyDescent="0.25">
      <c r="A44" s="49"/>
      <c r="B44" s="49"/>
      <c r="C44" s="49"/>
      <c r="D44" s="47"/>
      <c r="E44" s="48"/>
      <c r="F44" s="47"/>
      <c r="G44" s="48"/>
      <c r="H44" s="47"/>
      <c r="I44" s="48"/>
      <c r="J44" s="47"/>
      <c r="K44" s="48"/>
      <c r="L44" s="42">
        <f t="shared" si="1"/>
        <v>0</v>
      </c>
      <c r="M44" s="51">
        <f t="shared" si="2"/>
        <v>0</v>
      </c>
      <c r="N44" s="46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</row>
    <row r="45" spans="1:96" s="34" customFormat="1" ht="24.75" hidden="1" customHeight="1" x14ac:dyDescent="0.25">
      <c r="A45" s="49"/>
      <c r="B45" s="49"/>
      <c r="C45" s="49"/>
      <c r="D45" s="47"/>
      <c r="E45" s="48"/>
      <c r="F45" s="47"/>
      <c r="G45" s="48"/>
      <c r="H45" s="47"/>
      <c r="I45" s="48"/>
      <c r="J45" s="47"/>
      <c r="K45" s="48"/>
      <c r="L45" s="42">
        <f t="shared" si="1"/>
        <v>0</v>
      </c>
      <c r="M45" s="51">
        <f t="shared" si="2"/>
        <v>0</v>
      </c>
      <c r="N45" s="46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</row>
    <row r="46" spans="1:96" s="34" customFormat="1" ht="24.75" hidden="1" customHeight="1" x14ac:dyDescent="0.25">
      <c r="A46" s="49"/>
      <c r="B46" s="49"/>
      <c r="C46" s="49"/>
      <c r="D46" s="47"/>
      <c r="E46" s="48"/>
      <c r="F46" s="47"/>
      <c r="G46" s="48"/>
      <c r="H46" s="47"/>
      <c r="I46" s="48"/>
      <c r="J46" s="47"/>
      <c r="K46" s="48"/>
      <c r="L46" s="42">
        <f t="shared" si="1"/>
        <v>0</v>
      </c>
      <c r="M46" s="51">
        <f t="shared" si="2"/>
        <v>0</v>
      </c>
      <c r="N46" s="46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</row>
    <row r="47" spans="1:96" s="34" customFormat="1" ht="24.75" hidden="1" customHeight="1" x14ac:dyDescent="0.25">
      <c r="A47" s="49"/>
      <c r="B47" s="49"/>
      <c r="C47" s="49"/>
      <c r="D47" s="47"/>
      <c r="E47" s="48"/>
      <c r="F47" s="47"/>
      <c r="G47" s="48"/>
      <c r="H47" s="47"/>
      <c r="I47" s="48"/>
      <c r="J47" s="47"/>
      <c r="K47" s="48"/>
      <c r="L47" s="42">
        <f t="shared" si="1"/>
        <v>0</v>
      </c>
      <c r="M47" s="51">
        <f t="shared" si="2"/>
        <v>0</v>
      </c>
      <c r="N47" s="4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</row>
    <row r="48" spans="1:96" s="34" customFormat="1" ht="24.75" hidden="1" customHeight="1" x14ac:dyDescent="0.25">
      <c r="A48" s="49"/>
      <c r="B48" s="49"/>
      <c r="C48" s="49"/>
      <c r="D48" s="47"/>
      <c r="E48" s="48"/>
      <c r="F48" s="47"/>
      <c r="G48" s="48"/>
      <c r="H48" s="47"/>
      <c r="I48" s="48"/>
      <c r="J48" s="47"/>
      <c r="K48" s="48"/>
      <c r="L48" s="42">
        <f t="shared" si="1"/>
        <v>0</v>
      </c>
      <c r="M48" s="51">
        <f t="shared" si="2"/>
        <v>0</v>
      </c>
      <c r="N48" s="46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</row>
    <row r="49" spans="1:96" s="34" customFormat="1" ht="24.75" hidden="1" customHeight="1" x14ac:dyDescent="0.25">
      <c r="A49" s="49"/>
      <c r="B49" s="49"/>
      <c r="C49" s="49"/>
      <c r="D49" s="47"/>
      <c r="E49" s="48"/>
      <c r="F49" s="47"/>
      <c r="G49" s="48"/>
      <c r="H49" s="47"/>
      <c r="I49" s="48"/>
      <c r="J49" s="47"/>
      <c r="K49" s="48"/>
      <c r="L49" s="42">
        <f t="shared" si="1"/>
        <v>0</v>
      </c>
      <c r="M49" s="51">
        <f t="shared" si="2"/>
        <v>0</v>
      </c>
      <c r="N49" s="46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</row>
    <row r="50" spans="1:96" s="34" customFormat="1" ht="24.75" hidden="1" customHeight="1" x14ac:dyDescent="0.25">
      <c r="A50" s="49"/>
      <c r="B50" s="49"/>
      <c r="C50" s="49"/>
      <c r="D50" s="47"/>
      <c r="E50" s="48"/>
      <c r="F50" s="47"/>
      <c r="G50" s="48"/>
      <c r="H50" s="47"/>
      <c r="I50" s="48"/>
      <c r="J50" s="47"/>
      <c r="K50" s="48"/>
      <c r="L50" s="42">
        <f t="shared" si="1"/>
        <v>0</v>
      </c>
      <c r="M50" s="51">
        <f t="shared" si="2"/>
        <v>0</v>
      </c>
      <c r="N50" s="46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</row>
    <row r="51" spans="1:96" s="34" customFormat="1" ht="24.75" hidden="1" customHeight="1" x14ac:dyDescent="0.25">
      <c r="A51" s="49"/>
      <c r="B51" s="49"/>
      <c r="C51" s="49"/>
      <c r="D51" s="47"/>
      <c r="E51" s="48"/>
      <c r="F51" s="47"/>
      <c r="G51" s="48"/>
      <c r="H51" s="47"/>
      <c r="I51" s="48"/>
      <c r="J51" s="47"/>
      <c r="K51" s="48"/>
      <c r="L51" s="42">
        <f t="shared" si="1"/>
        <v>0</v>
      </c>
      <c r="M51" s="51">
        <f t="shared" si="2"/>
        <v>0</v>
      </c>
      <c r="N51" s="46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</row>
    <row r="52" spans="1:96" s="34" customFormat="1" ht="24.75" hidden="1" customHeight="1" x14ac:dyDescent="0.25">
      <c r="A52" s="49"/>
      <c r="B52" s="49"/>
      <c r="C52" s="49"/>
      <c r="D52" s="47"/>
      <c r="E52" s="48"/>
      <c r="F52" s="47"/>
      <c r="G52" s="48"/>
      <c r="H52" s="47"/>
      <c r="I52" s="48"/>
      <c r="J52" s="47"/>
      <c r="K52" s="48"/>
      <c r="L52" s="42">
        <f t="shared" si="1"/>
        <v>0</v>
      </c>
      <c r="M52" s="51">
        <f t="shared" si="2"/>
        <v>0</v>
      </c>
      <c r="N52" s="46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</row>
    <row r="53" spans="1:96" s="34" customFormat="1" ht="24.75" hidden="1" customHeight="1" x14ac:dyDescent="0.25">
      <c r="A53" s="49"/>
      <c r="B53" s="49"/>
      <c r="C53" s="49"/>
      <c r="D53" s="47"/>
      <c r="E53" s="48"/>
      <c r="F53" s="47"/>
      <c r="G53" s="48"/>
      <c r="H53" s="47"/>
      <c r="I53" s="48"/>
      <c r="J53" s="47"/>
      <c r="K53" s="48"/>
      <c r="L53" s="42">
        <f t="shared" si="1"/>
        <v>0</v>
      </c>
      <c r="M53" s="51">
        <f t="shared" si="2"/>
        <v>0</v>
      </c>
      <c r="N53" s="46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</row>
    <row r="54" spans="1:96" s="34" customFormat="1" ht="24.75" hidden="1" customHeight="1" x14ac:dyDescent="0.25">
      <c r="A54" s="49"/>
      <c r="B54" s="49"/>
      <c r="C54" s="49"/>
      <c r="D54" s="47"/>
      <c r="E54" s="48"/>
      <c r="F54" s="47"/>
      <c r="G54" s="48"/>
      <c r="H54" s="47"/>
      <c r="I54" s="48"/>
      <c r="J54" s="47"/>
      <c r="K54" s="48"/>
      <c r="L54" s="42">
        <f t="shared" si="1"/>
        <v>0</v>
      </c>
      <c r="M54" s="51">
        <f t="shared" si="2"/>
        <v>0</v>
      </c>
      <c r="N54" s="46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</row>
    <row r="55" spans="1:96" s="34" customFormat="1" ht="24.75" hidden="1" customHeight="1" x14ac:dyDescent="0.25">
      <c r="A55" s="49"/>
      <c r="B55" s="49"/>
      <c r="C55" s="49"/>
      <c r="D55" s="47"/>
      <c r="E55" s="48"/>
      <c r="F55" s="47"/>
      <c r="G55" s="48"/>
      <c r="H55" s="47"/>
      <c r="I55" s="48"/>
      <c r="J55" s="47"/>
      <c r="K55" s="48"/>
      <c r="L55" s="42">
        <f t="shared" si="1"/>
        <v>0</v>
      </c>
      <c r="M55" s="51">
        <f t="shared" si="2"/>
        <v>0</v>
      </c>
      <c r="N55" s="46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</row>
    <row r="56" spans="1:96" s="34" customFormat="1" ht="24.75" hidden="1" customHeight="1" x14ac:dyDescent="0.25">
      <c r="A56" s="49"/>
      <c r="B56" s="49"/>
      <c r="C56" s="49"/>
      <c r="D56" s="47"/>
      <c r="E56" s="48"/>
      <c r="F56" s="47"/>
      <c r="G56" s="48"/>
      <c r="H56" s="47"/>
      <c r="I56" s="48"/>
      <c r="J56" s="47"/>
      <c r="K56" s="48"/>
      <c r="L56" s="42">
        <f t="shared" si="1"/>
        <v>0</v>
      </c>
      <c r="M56" s="51">
        <f t="shared" si="2"/>
        <v>0</v>
      </c>
      <c r="N56" s="46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</row>
    <row r="57" spans="1:96" s="34" customFormat="1" ht="24.75" hidden="1" customHeight="1" x14ac:dyDescent="0.25">
      <c r="A57" s="49"/>
      <c r="B57" s="49"/>
      <c r="C57" s="49"/>
      <c r="D57" s="47"/>
      <c r="E57" s="48"/>
      <c r="F57" s="47"/>
      <c r="G57" s="48"/>
      <c r="H57" s="47"/>
      <c r="I57" s="48"/>
      <c r="J57" s="47"/>
      <c r="K57" s="48"/>
      <c r="L57" s="42">
        <f t="shared" si="1"/>
        <v>0</v>
      </c>
      <c r="M57" s="51">
        <f t="shared" si="2"/>
        <v>0</v>
      </c>
      <c r="N57" s="46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</row>
    <row r="58" spans="1:96" s="34" customFormat="1" ht="24.75" hidden="1" customHeight="1" x14ac:dyDescent="0.25">
      <c r="A58" s="49"/>
      <c r="B58" s="49"/>
      <c r="C58" s="49"/>
      <c r="D58" s="47"/>
      <c r="E58" s="48"/>
      <c r="F58" s="47"/>
      <c r="G58" s="48"/>
      <c r="H58" s="47"/>
      <c r="I58" s="48"/>
      <c r="J58" s="47"/>
      <c r="K58" s="48"/>
      <c r="L58" s="42">
        <f t="shared" si="1"/>
        <v>0</v>
      </c>
      <c r="M58" s="51">
        <f t="shared" si="2"/>
        <v>0</v>
      </c>
      <c r="N58" s="46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</row>
    <row r="59" spans="1:96" s="34" customFormat="1" ht="24.75" hidden="1" customHeight="1" x14ac:dyDescent="0.25">
      <c r="A59" s="49"/>
      <c r="B59" s="49"/>
      <c r="C59" s="49"/>
      <c r="D59" s="47"/>
      <c r="E59" s="48"/>
      <c r="F59" s="47"/>
      <c r="G59" s="48"/>
      <c r="H59" s="47"/>
      <c r="I59" s="48"/>
      <c r="J59" s="47"/>
      <c r="K59" s="48"/>
      <c r="L59" s="42">
        <f t="shared" si="1"/>
        <v>0</v>
      </c>
      <c r="M59" s="51">
        <f t="shared" si="2"/>
        <v>0</v>
      </c>
      <c r="N59" s="46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</row>
    <row r="60" spans="1:96" s="34" customFormat="1" ht="24.75" hidden="1" customHeight="1" x14ac:dyDescent="0.25">
      <c r="A60" s="49"/>
      <c r="B60" s="49"/>
      <c r="C60" s="49"/>
      <c r="D60" s="47"/>
      <c r="E60" s="48"/>
      <c r="F60" s="47"/>
      <c r="G60" s="48"/>
      <c r="H60" s="47"/>
      <c r="I60" s="48"/>
      <c r="J60" s="47"/>
      <c r="K60" s="48"/>
      <c r="L60" s="42">
        <f t="shared" si="1"/>
        <v>0</v>
      </c>
      <c r="M60" s="51">
        <f t="shared" si="2"/>
        <v>0</v>
      </c>
      <c r="N60" s="46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</row>
    <row r="61" spans="1:96" s="34" customFormat="1" ht="24.75" hidden="1" customHeight="1" x14ac:dyDescent="0.25">
      <c r="A61" s="49"/>
      <c r="B61" s="49"/>
      <c r="C61" s="49"/>
      <c r="D61" s="47"/>
      <c r="E61" s="48"/>
      <c r="F61" s="47"/>
      <c r="G61" s="48"/>
      <c r="H61" s="47"/>
      <c r="I61" s="48"/>
      <c r="J61" s="47"/>
      <c r="K61" s="48"/>
      <c r="L61" s="42">
        <f t="shared" si="1"/>
        <v>0</v>
      </c>
      <c r="M61" s="51">
        <f t="shared" si="2"/>
        <v>0</v>
      </c>
      <c r="N61" s="46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</row>
    <row r="62" spans="1:96" s="34" customFormat="1" ht="24.75" hidden="1" customHeight="1" x14ac:dyDescent="0.25">
      <c r="A62" s="49"/>
      <c r="B62" s="49"/>
      <c r="C62" s="49"/>
      <c r="D62" s="47"/>
      <c r="E62" s="48"/>
      <c r="F62" s="47"/>
      <c r="G62" s="48"/>
      <c r="H62" s="47"/>
      <c r="I62" s="48"/>
      <c r="J62" s="47"/>
      <c r="K62" s="48"/>
      <c r="L62" s="42">
        <f t="shared" si="1"/>
        <v>0</v>
      </c>
      <c r="M62" s="51">
        <f t="shared" si="2"/>
        <v>0</v>
      </c>
      <c r="N62" s="46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</row>
    <row r="63" spans="1:96" s="34" customFormat="1" ht="24.75" hidden="1" customHeight="1" x14ac:dyDescent="0.25">
      <c r="A63" s="49"/>
      <c r="B63" s="49"/>
      <c r="C63" s="49"/>
      <c r="D63" s="47"/>
      <c r="E63" s="48"/>
      <c r="F63" s="47"/>
      <c r="G63" s="48"/>
      <c r="H63" s="47"/>
      <c r="I63" s="48"/>
      <c r="J63" s="47"/>
      <c r="K63" s="48"/>
      <c r="L63" s="42">
        <f t="shared" si="1"/>
        <v>0</v>
      </c>
      <c r="M63" s="51">
        <f t="shared" si="2"/>
        <v>0</v>
      </c>
      <c r="N63" s="46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</row>
    <row r="64" spans="1:96" s="34" customFormat="1" ht="24.75" hidden="1" customHeight="1" x14ac:dyDescent="0.25">
      <c r="A64" s="49"/>
      <c r="B64" s="49"/>
      <c r="C64" s="49"/>
      <c r="D64" s="47"/>
      <c r="E64" s="48"/>
      <c r="F64" s="47"/>
      <c r="G64" s="48"/>
      <c r="H64" s="47"/>
      <c r="I64" s="48"/>
      <c r="J64" s="47"/>
      <c r="K64" s="48"/>
      <c r="L64" s="42">
        <f t="shared" si="1"/>
        <v>0</v>
      </c>
      <c r="M64" s="51">
        <f t="shared" si="2"/>
        <v>0</v>
      </c>
      <c r="N64" s="46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</row>
    <row r="65" spans="1:96" s="34" customFormat="1" ht="24.75" hidden="1" customHeight="1" x14ac:dyDescent="0.25">
      <c r="A65" s="49"/>
      <c r="B65" s="49"/>
      <c r="C65" s="49"/>
      <c r="D65" s="47"/>
      <c r="E65" s="48"/>
      <c r="F65" s="47"/>
      <c r="G65" s="48"/>
      <c r="H65" s="47"/>
      <c r="I65" s="48"/>
      <c r="J65" s="47"/>
      <c r="K65" s="48"/>
      <c r="L65" s="42">
        <f t="shared" si="1"/>
        <v>0</v>
      </c>
      <c r="M65" s="51">
        <f t="shared" si="2"/>
        <v>0</v>
      </c>
      <c r="N65" s="46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</row>
    <row r="66" spans="1:96" s="34" customFormat="1" ht="24.75" hidden="1" customHeight="1" x14ac:dyDescent="0.25">
      <c r="A66" s="49"/>
      <c r="B66" s="49"/>
      <c r="C66" s="49"/>
      <c r="D66" s="47"/>
      <c r="E66" s="48"/>
      <c r="F66" s="47"/>
      <c r="G66" s="48"/>
      <c r="H66" s="47"/>
      <c r="I66" s="48"/>
      <c r="J66" s="47"/>
      <c r="K66" s="48"/>
      <c r="L66" s="42">
        <f t="shared" si="1"/>
        <v>0</v>
      </c>
      <c r="M66" s="51">
        <f t="shared" si="2"/>
        <v>0</v>
      </c>
      <c r="N66" s="46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</row>
    <row r="67" spans="1:96" s="34" customFormat="1" ht="24.75" hidden="1" customHeight="1" x14ac:dyDescent="0.25">
      <c r="A67" s="49"/>
      <c r="B67" s="49"/>
      <c r="C67" s="49"/>
      <c r="D67" s="47"/>
      <c r="E67" s="48"/>
      <c r="F67" s="47"/>
      <c r="G67" s="48"/>
      <c r="H67" s="47"/>
      <c r="I67" s="48"/>
      <c r="J67" s="47"/>
      <c r="K67" s="48"/>
      <c r="L67" s="42">
        <f t="shared" si="1"/>
        <v>0</v>
      </c>
      <c r="M67" s="51">
        <f t="shared" si="2"/>
        <v>0</v>
      </c>
      <c r="N67" s="46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</row>
    <row r="68" spans="1:96" ht="15" customHeight="1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</row>
    <row r="69" spans="1:96" ht="15" customHeight="1" x14ac:dyDescent="0.25">
      <c r="A69" s="23" t="s">
        <v>78</v>
      </c>
      <c r="B69" s="23"/>
      <c r="C69" s="23"/>
      <c r="D69" s="24" t="s">
        <v>148</v>
      </c>
      <c r="E69" s="35"/>
      <c r="F69" s="35"/>
      <c r="G69" s="35"/>
      <c r="H69" s="35"/>
      <c r="I69" s="35"/>
      <c r="J69" s="35"/>
      <c r="K69" s="35"/>
      <c r="L69" s="35"/>
      <c r="M69" s="35"/>
      <c r="N69" s="35"/>
    </row>
    <row r="70" spans="1:96" ht="15" customHeight="1" x14ac:dyDescent="0.25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35"/>
    </row>
    <row r="71" spans="1:96" ht="15" customHeight="1" x14ac:dyDescent="0.25">
      <c r="A71" s="37" t="s">
        <v>149</v>
      </c>
      <c r="B71" s="37">
        <f>SUM(B6:B36)</f>
        <v>33</v>
      </c>
      <c r="C71" s="37">
        <f>SUM(C6:C36)</f>
        <v>318.7</v>
      </c>
      <c r="D71" s="53">
        <f>SUM(D6:D36)</f>
        <v>50</v>
      </c>
      <c r="E71" s="54">
        <f t="shared" ref="E71:M71" si="3">SUM(E6:E67)</f>
        <v>525.76</v>
      </c>
      <c r="F71" s="53">
        <f t="shared" si="3"/>
        <v>31</v>
      </c>
      <c r="G71" s="54">
        <f t="shared" si="3"/>
        <v>815.28</v>
      </c>
      <c r="H71" s="53">
        <f t="shared" si="3"/>
        <v>36</v>
      </c>
      <c r="I71" s="54">
        <f t="shared" si="3"/>
        <v>405.69</v>
      </c>
      <c r="J71" s="53">
        <f t="shared" si="3"/>
        <v>0</v>
      </c>
      <c r="K71" s="54">
        <f t="shared" si="3"/>
        <v>0</v>
      </c>
      <c r="L71" s="53">
        <f t="shared" si="3"/>
        <v>150</v>
      </c>
      <c r="M71" s="54">
        <f t="shared" si="3"/>
        <v>1746.7300000000002</v>
      </c>
      <c r="N71" s="35"/>
    </row>
    <row r="72" spans="1:96" ht="15.75" customHeight="1" x14ac:dyDescent="0.2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</row>
    <row r="73" spans="1:96" ht="48.75" customHeight="1" x14ac:dyDescent="0.2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</row>
    <row r="74" spans="1:96" ht="15" customHeight="1" x14ac:dyDescent="0.2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</row>
    <row r="75" spans="1:96" ht="15" customHeight="1" x14ac:dyDescent="0.2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</row>
    <row r="76" spans="1:96" ht="15" customHeight="1" x14ac:dyDescent="0.2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</row>
    <row r="77" spans="1:96" ht="15" customHeight="1" x14ac:dyDescent="0.2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</row>
    <row r="78" spans="1:96" ht="15" customHeight="1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</row>
    <row r="79" spans="1:96" ht="15" customHeight="1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</row>
    <row r="80" spans="1:96" ht="15" customHeight="1" x14ac:dyDescent="0.2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</row>
    <row r="81" spans="1:14" ht="15" customHeight="1" x14ac:dyDescent="0.2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</row>
    <row r="82" spans="1:14" ht="15" customHeight="1" x14ac:dyDescent="0.2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</row>
    <row r="83" spans="1:14" ht="15" customHeight="1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</row>
    <row r="84" spans="1:14" ht="15" customHeight="1" x14ac:dyDescent="0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</row>
    <row r="85" spans="1:14" ht="15" customHeight="1" x14ac:dyDescent="0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</row>
    <row r="86" spans="1:14" ht="15" customHeight="1" x14ac:dyDescent="0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</row>
    <row r="87" spans="1:14" ht="15" customHeight="1" x14ac:dyDescent="0.2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</row>
    <row r="88" spans="1:14" ht="15" customHeight="1" x14ac:dyDescent="0.2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</row>
    <row r="89" spans="1:14" ht="15" customHeight="1" x14ac:dyDescent="0.2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</row>
    <row r="90" spans="1:14" ht="15" customHeight="1" x14ac:dyDescent="0.2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</row>
    <row r="91" spans="1:14" ht="15" customHeight="1" x14ac:dyDescent="0.2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</row>
    <row r="92" spans="1:14" ht="15" customHeight="1" x14ac:dyDescent="0.2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</row>
    <row r="93" spans="1:14" ht="15" customHeight="1" x14ac:dyDescent="0.2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</row>
    <row r="94" spans="1:14" ht="15" customHeight="1" x14ac:dyDescent="0.2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</row>
    <row r="95" spans="1:14" ht="15" customHeight="1" x14ac:dyDescent="0.2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</row>
  </sheetData>
  <mergeCells count="11">
    <mergeCell ref="A1:M1"/>
    <mergeCell ref="A2:M2"/>
    <mergeCell ref="A4:A5"/>
    <mergeCell ref="D4:E4"/>
    <mergeCell ref="F4:G4"/>
    <mergeCell ref="H4:I4"/>
    <mergeCell ref="J4:K4"/>
    <mergeCell ref="L4:L5"/>
    <mergeCell ref="M4:M5"/>
    <mergeCell ref="B4:C4"/>
    <mergeCell ref="C3:E3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95"/>
  <sheetViews>
    <sheetView showGridLines="0" zoomScale="85" zoomScaleNormal="85" workbookViewId="0">
      <selection activeCell="F16" sqref="F16"/>
    </sheetView>
  </sheetViews>
  <sheetFormatPr defaultColWidth="8.7109375" defaultRowHeight="15" x14ac:dyDescent="0.25"/>
  <cols>
    <col min="1" max="1" width="20.42578125" style="1" customWidth="1"/>
    <col min="2" max="11" width="11" style="1" customWidth="1"/>
    <col min="12" max="66" width="8.7109375" style="1"/>
  </cols>
  <sheetData>
    <row r="1" spans="1:66" ht="25.5" customHeight="1" x14ac:dyDescent="0.25">
      <c r="A1" s="92" t="s">
        <v>150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35"/>
    </row>
    <row r="2" spans="1:66" ht="18" customHeight="1" thickBot="1" x14ac:dyDescent="0.3">
      <c r="A2" s="93" t="s">
        <v>151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35"/>
    </row>
    <row r="3" spans="1:66" ht="15" customHeight="1" thickBot="1" x14ac:dyDescent="0.3">
      <c r="A3" s="35" t="s">
        <v>160</v>
      </c>
      <c r="B3" s="58"/>
      <c r="C3" s="57" t="s">
        <v>155</v>
      </c>
      <c r="D3" s="35"/>
      <c r="E3" s="35"/>
      <c r="F3" s="35"/>
      <c r="G3" s="35"/>
      <c r="H3" s="35"/>
      <c r="I3" s="35"/>
      <c r="J3" s="35"/>
      <c r="K3" s="35"/>
      <c r="L3" s="35"/>
    </row>
    <row r="4" spans="1:66" ht="15.75" customHeight="1" x14ac:dyDescent="0.25">
      <c r="A4" s="105" t="s">
        <v>107</v>
      </c>
      <c r="B4" s="105" t="s">
        <v>65</v>
      </c>
      <c r="C4" s="105"/>
      <c r="D4" s="105" t="s">
        <v>28</v>
      </c>
      <c r="E4" s="105"/>
      <c r="F4" s="105" t="s">
        <v>29</v>
      </c>
      <c r="G4" s="105"/>
      <c r="H4" s="105" t="s">
        <v>30</v>
      </c>
      <c r="I4" s="105"/>
      <c r="J4" s="105" t="s">
        <v>144</v>
      </c>
      <c r="K4" s="105" t="s">
        <v>152</v>
      </c>
      <c r="L4" s="35"/>
    </row>
    <row r="5" spans="1:66" ht="27.75" customHeight="1" x14ac:dyDescent="0.25">
      <c r="A5" s="105"/>
      <c r="B5" s="19" t="s">
        <v>153</v>
      </c>
      <c r="C5" s="19" t="s">
        <v>154</v>
      </c>
      <c r="D5" s="19" t="s">
        <v>153</v>
      </c>
      <c r="E5" s="19" t="s">
        <v>154</v>
      </c>
      <c r="F5" s="19" t="s">
        <v>153</v>
      </c>
      <c r="G5" s="19" t="s">
        <v>154</v>
      </c>
      <c r="H5" s="19" t="s">
        <v>153</v>
      </c>
      <c r="I5" s="19" t="s">
        <v>154</v>
      </c>
      <c r="J5" s="105"/>
      <c r="K5" s="105"/>
      <c r="L5" s="35"/>
    </row>
    <row r="6" spans="1:66" s="34" customFormat="1" ht="24.75" customHeight="1" x14ac:dyDescent="0.25">
      <c r="A6" s="41">
        <v>46235</v>
      </c>
      <c r="B6" s="42">
        <v>5</v>
      </c>
      <c r="C6" s="42">
        <v>91.16</v>
      </c>
      <c r="D6" s="42">
        <v>12</v>
      </c>
      <c r="E6" s="42">
        <v>296.95</v>
      </c>
      <c r="F6" s="42">
        <v>6</v>
      </c>
      <c r="G6" s="42">
        <v>117.03</v>
      </c>
      <c r="H6" s="42"/>
      <c r="I6" s="42"/>
      <c r="J6" s="42">
        <f t="shared" ref="J6:J37" si="0">B6+D6+F6+H6</f>
        <v>23</v>
      </c>
      <c r="K6" s="42">
        <f t="shared" ref="K6:K37" si="1">C6+E6+G6+I6</f>
        <v>505.14</v>
      </c>
      <c r="L6" s="3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1:66" s="34" customFormat="1" ht="24.75" customHeight="1" x14ac:dyDescent="0.25">
      <c r="A7" s="41">
        <v>46236</v>
      </c>
      <c r="B7" s="42">
        <v>3</v>
      </c>
      <c r="C7" s="42">
        <v>84.81</v>
      </c>
      <c r="D7" s="42">
        <v>2</v>
      </c>
      <c r="E7" s="42">
        <v>51.43</v>
      </c>
      <c r="F7" s="42">
        <v>6</v>
      </c>
      <c r="G7" s="42">
        <v>165.77</v>
      </c>
      <c r="H7" s="42"/>
      <c r="I7" s="42"/>
      <c r="J7" s="42">
        <f t="shared" si="0"/>
        <v>11</v>
      </c>
      <c r="K7" s="42">
        <f t="shared" si="1"/>
        <v>302.01</v>
      </c>
      <c r="L7" s="3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1:66" s="34" customFormat="1" ht="24.75" customHeight="1" x14ac:dyDescent="0.25">
      <c r="A8" s="41">
        <v>46237</v>
      </c>
      <c r="B8" s="42"/>
      <c r="C8" s="42"/>
      <c r="D8" s="42"/>
      <c r="E8" s="42"/>
      <c r="F8" s="42"/>
      <c r="G8" s="42"/>
      <c r="H8" s="42"/>
      <c r="I8" s="42"/>
      <c r="J8" s="42">
        <f t="shared" si="0"/>
        <v>0</v>
      </c>
      <c r="K8" s="42">
        <f t="shared" si="1"/>
        <v>0</v>
      </c>
      <c r="L8" s="3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1:66" s="34" customFormat="1" ht="24.75" customHeight="1" x14ac:dyDescent="0.25">
      <c r="A9" s="41">
        <v>46238</v>
      </c>
      <c r="B9" s="42">
        <v>8</v>
      </c>
      <c r="C9" s="42">
        <v>205.63</v>
      </c>
      <c r="D9" s="42">
        <v>2</v>
      </c>
      <c r="E9" s="42">
        <v>28.98</v>
      </c>
      <c r="F9" s="42">
        <v>12</v>
      </c>
      <c r="G9" s="42">
        <v>309.48</v>
      </c>
      <c r="H9" s="42"/>
      <c r="I9" s="42"/>
      <c r="J9" s="42">
        <f t="shared" si="0"/>
        <v>22</v>
      </c>
      <c r="K9" s="42">
        <f t="shared" si="1"/>
        <v>544.09</v>
      </c>
      <c r="L9" s="3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1:66" s="34" customFormat="1" ht="24.75" customHeight="1" x14ac:dyDescent="0.25">
      <c r="A10" s="41">
        <v>46239</v>
      </c>
      <c r="B10" s="42">
        <v>3</v>
      </c>
      <c r="C10" s="42">
        <v>507.04</v>
      </c>
      <c r="D10" s="42">
        <v>8</v>
      </c>
      <c r="E10" s="42">
        <v>109.32</v>
      </c>
      <c r="F10" s="42">
        <v>3</v>
      </c>
      <c r="G10" s="42">
        <v>290.02</v>
      </c>
      <c r="H10" s="42"/>
      <c r="I10" s="42"/>
      <c r="J10" s="42">
        <f t="shared" si="0"/>
        <v>14</v>
      </c>
      <c r="K10" s="42">
        <f t="shared" si="1"/>
        <v>906.38</v>
      </c>
      <c r="L10" s="3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1:66" s="34" customFormat="1" ht="24.75" customHeight="1" x14ac:dyDescent="0.25">
      <c r="A11" s="41">
        <v>46240</v>
      </c>
      <c r="B11" s="42">
        <v>5</v>
      </c>
      <c r="C11" s="42">
        <v>95.41</v>
      </c>
      <c r="D11" s="42">
        <v>13</v>
      </c>
      <c r="E11" s="42">
        <v>295.17</v>
      </c>
      <c r="F11" s="42">
        <v>1</v>
      </c>
      <c r="G11" s="42">
        <v>35.340000000000003</v>
      </c>
      <c r="H11" s="42"/>
      <c r="I11" s="42"/>
      <c r="J11" s="42">
        <f t="shared" si="0"/>
        <v>19</v>
      </c>
      <c r="K11" s="42">
        <f t="shared" si="1"/>
        <v>425.92000000000007</v>
      </c>
      <c r="L11" s="3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1:66" s="34" customFormat="1" ht="24.75" customHeight="1" x14ac:dyDescent="0.25">
      <c r="A12" s="41">
        <v>46241</v>
      </c>
      <c r="B12" s="42">
        <v>8</v>
      </c>
      <c r="C12" s="42">
        <v>238.7</v>
      </c>
      <c r="D12" s="42">
        <v>13</v>
      </c>
      <c r="E12" s="42">
        <v>360</v>
      </c>
      <c r="F12" s="42"/>
      <c r="G12" s="42"/>
      <c r="H12" s="42"/>
      <c r="I12" s="42"/>
      <c r="J12" s="42">
        <f t="shared" si="0"/>
        <v>21</v>
      </c>
      <c r="K12" s="42">
        <f t="shared" si="1"/>
        <v>598.70000000000005</v>
      </c>
      <c r="L12" s="3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1:66" s="34" customFormat="1" ht="24.75" customHeight="1" x14ac:dyDescent="0.25">
      <c r="A13" s="41">
        <v>46242</v>
      </c>
      <c r="B13" s="42">
        <v>3</v>
      </c>
      <c r="C13" s="42">
        <v>73.22</v>
      </c>
      <c r="D13" s="42">
        <v>7</v>
      </c>
      <c r="E13" s="42">
        <v>186.77</v>
      </c>
      <c r="F13" s="42">
        <v>1</v>
      </c>
      <c r="G13" s="42">
        <v>19.420000000000002</v>
      </c>
      <c r="H13" s="42"/>
      <c r="I13" s="42"/>
      <c r="J13" s="42">
        <f t="shared" si="0"/>
        <v>11</v>
      </c>
      <c r="K13" s="42">
        <f t="shared" si="1"/>
        <v>279.41000000000003</v>
      </c>
      <c r="L13" s="3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1:66" s="34" customFormat="1" ht="24.75" customHeight="1" x14ac:dyDescent="0.25">
      <c r="A14" s="41">
        <v>46243</v>
      </c>
      <c r="B14" s="42"/>
      <c r="C14" s="42"/>
      <c r="D14" s="42">
        <v>1</v>
      </c>
      <c r="E14" s="42">
        <v>8.74</v>
      </c>
      <c r="F14" s="42"/>
      <c r="G14" s="42"/>
      <c r="H14" s="42"/>
      <c r="I14" s="42"/>
      <c r="J14" s="42">
        <f t="shared" si="0"/>
        <v>1</v>
      </c>
      <c r="K14" s="42">
        <f t="shared" si="1"/>
        <v>8.74</v>
      </c>
      <c r="L14" s="3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1:66" s="34" customFormat="1" ht="24.75" customHeight="1" x14ac:dyDescent="0.25">
      <c r="A15" s="41">
        <v>46244</v>
      </c>
      <c r="B15" s="42">
        <v>11</v>
      </c>
      <c r="C15" s="42">
        <v>306.75</v>
      </c>
      <c r="D15" s="42">
        <v>5</v>
      </c>
      <c r="E15" s="42">
        <v>119.03</v>
      </c>
      <c r="F15" s="42">
        <v>3</v>
      </c>
      <c r="G15" s="42">
        <v>35.1</v>
      </c>
      <c r="H15" s="42"/>
      <c r="I15" s="42"/>
      <c r="J15" s="42">
        <f t="shared" si="0"/>
        <v>19</v>
      </c>
      <c r="K15" s="42">
        <f t="shared" si="1"/>
        <v>460.88</v>
      </c>
      <c r="L15" s="3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1:66" s="34" customFormat="1" ht="24.75" customHeight="1" x14ac:dyDescent="0.25">
      <c r="A16" s="41">
        <v>46245</v>
      </c>
      <c r="B16" s="42">
        <v>4</v>
      </c>
      <c r="C16" s="42">
        <v>60.45</v>
      </c>
      <c r="D16" s="42">
        <v>8</v>
      </c>
      <c r="E16" s="42">
        <v>163.49</v>
      </c>
      <c r="F16" s="42"/>
      <c r="G16" s="42"/>
      <c r="H16" s="42"/>
      <c r="I16" s="42"/>
      <c r="J16" s="42">
        <f t="shared" si="0"/>
        <v>12</v>
      </c>
      <c r="K16" s="42">
        <f t="shared" si="1"/>
        <v>223.94</v>
      </c>
      <c r="L16" s="3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1:66" s="34" customFormat="1" ht="24.75" customHeight="1" x14ac:dyDescent="0.25">
      <c r="A17" s="41">
        <v>46246</v>
      </c>
      <c r="B17" s="42"/>
      <c r="C17" s="42"/>
      <c r="D17" s="42"/>
      <c r="E17" s="42"/>
      <c r="F17" s="42"/>
      <c r="G17" s="42"/>
      <c r="H17" s="42"/>
      <c r="I17" s="42"/>
      <c r="J17" s="42">
        <f t="shared" si="0"/>
        <v>0</v>
      </c>
      <c r="K17" s="42">
        <f t="shared" si="1"/>
        <v>0</v>
      </c>
      <c r="L17" s="3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1:66" s="34" customFormat="1" ht="24.75" customHeight="1" x14ac:dyDescent="0.25">
      <c r="A18" s="41">
        <v>46247</v>
      </c>
      <c r="B18" s="42"/>
      <c r="C18" s="42"/>
      <c r="D18" s="42"/>
      <c r="E18" s="42"/>
      <c r="F18" s="42"/>
      <c r="G18" s="42"/>
      <c r="H18" s="42"/>
      <c r="I18" s="42"/>
      <c r="J18" s="42">
        <f t="shared" si="0"/>
        <v>0</v>
      </c>
      <c r="K18" s="42">
        <f t="shared" si="1"/>
        <v>0</v>
      </c>
      <c r="L18" s="3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1:66" s="34" customFormat="1" ht="24.75" customHeight="1" x14ac:dyDescent="0.25">
      <c r="A19" s="41">
        <v>46248</v>
      </c>
      <c r="B19" s="42"/>
      <c r="C19" s="42"/>
      <c r="D19" s="42"/>
      <c r="E19" s="42"/>
      <c r="F19" s="42"/>
      <c r="G19" s="42"/>
      <c r="H19" s="42"/>
      <c r="I19" s="42"/>
      <c r="J19" s="42">
        <f t="shared" si="0"/>
        <v>0</v>
      </c>
      <c r="K19" s="42">
        <f t="shared" si="1"/>
        <v>0</v>
      </c>
      <c r="L19" s="3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1:66" s="34" customFormat="1" ht="24.75" customHeight="1" x14ac:dyDescent="0.25">
      <c r="A20" s="41">
        <v>46249</v>
      </c>
      <c r="B20" s="42"/>
      <c r="C20" s="42"/>
      <c r="D20" s="42"/>
      <c r="E20" s="42"/>
      <c r="F20" s="42"/>
      <c r="G20" s="42"/>
      <c r="H20" s="42"/>
      <c r="I20" s="42"/>
      <c r="J20" s="42">
        <f t="shared" si="0"/>
        <v>0</v>
      </c>
      <c r="K20" s="42">
        <f t="shared" si="1"/>
        <v>0</v>
      </c>
      <c r="L20" s="3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1:66" s="34" customFormat="1" ht="24.75" customHeight="1" x14ac:dyDescent="0.25">
      <c r="A21" s="41">
        <v>46250</v>
      </c>
      <c r="B21" s="42"/>
      <c r="C21" s="42"/>
      <c r="D21" s="42"/>
      <c r="E21" s="42"/>
      <c r="F21" s="42"/>
      <c r="G21" s="42"/>
      <c r="H21" s="42"/>
      <c r="I21" s="42"/>
      <c r="J21" s="42">
        <f t="shared" si="0"/>
        <v>0</v>
      </c>
      <c r="K21" s="42">
        <f t="shared" si="1"/>
        <v>0</v>
      </c>
      <c r="L21" s="3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1:66" s="34" customFormat="1" ht="24.75" customHeight="1" x14ac:dyDescent="0.25">
      <c r="A22" s="41">
        <v>46251</v>
      </c>
      <c r="B22" s="42"/>
      <c r="C22" s="42"/>
      <c r="D22" s="42"/>
      <c r="E22" s="42"/>
      <c r="F22" s="42"/>
      <c r="G22" s="42"/>
      <c r="H22" s="42"/>
      <c r="I22" s="42"/>
      <c r="J22" s="42">
        <f t="shared" si="0"/>
        <v>0</v>
      </c>
      <c r="K22" s="42">
        <f t="shared" si="1"/>
        <v>0</v>
      </c>
      <c r="L22" s="3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1:66" s="34" customFormat="1" ht="24.75" customHeight="1" x14ac:dyDescent="0.25">
      <c r="A23" s="41">
        <v>46252</v>
      </c>
      <c r="B23" s="42"/>
      <c r="C23" s="42"/>
      <c r="D23" s="42"/>
      <c r="E23" s="42"/>
      <c r="F23" s="42"/>
      <c r="G23" s="42"/>
      <c r="H23" s="42"/>
      <c r="I23" s="42"/>
      <c r="J23" s="42">
        <f t="shared" si="0"/>
        <v>0</v>
      </c>
      <c r="K23" s="42">
        <f t="shared" si="1"/>
        <v>0</v>
      </c>
      <c r="L23" s="3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1:66" s="34" customFormat="1" ht="24.75" customHeight="1" x14ac:dyDescent="0.25">
      <c r="A24" s="41">
        <v>46253</v>
      </c>
      <c r="B24" s="44"/>
      <c r="C24" s="45"/>
      <c r="D24" s="42"/>
      <c r="E24" s="42"/>
      <c r="F24" s="44"/>
      <c r="G24" s="45"/>
      <c r="H24" s="44"/>
      <c r="I24" s="45"/>
      <c r="J24" s="42">
        <f t="shared" si="0"/>
        <v>0</v>
      </c>
      <c r="K24" s="42">
        <f t="shared" si="1"/>
        <v>0</v>
      </c>
      <c r="L24" s="3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1:66" s="34" customFormat="1" ht="24.75" customHeight="1" x14ac:dyDescent="0.25">
      <c r="A25" s="41">
        <v>46254</v>
      </c>
      <c r="B25" s="47"/>
      <c r="C25" s="48"/>
      <c r="D25" s="42"/>
      <c r="E25" s="42"/>
      <c r="F25" s="47"/>
      <c r="G25" s="48"/>
      <c r="H25" s="47"/>
      <c r="I25" s="48"/>
      <c r="J25" s="42">
        <f t="shared" si="0"/>
        <v>0</v>
      </c>
      <c r="K25" s="42">
        <f t="shared" si="1"/>
        <v>0</v>
      </c>
      <c r="L25" s="3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1:66" s="34" customFormat="1" ht="24.75" customHeight="1" x14ac:dyDescent="0.25">
      <c r="A26" s="41">
        <v>46255</v>
      </c>
      <c r="B26" s="47"/>
      <c r="C26" s="48"/>
      <c r="D26" s="42"/>
      <c r="E26" s="42"/>
      <c r="F26" s="47"/>
      <c r="G26" s="48"/>
      <c r="H26" s="47"/>
      <c r="I26" s="48"/>
      <c r="J26" s="42">
        <f t="shared" si="0"/>
        <v>0</v>
      </c>
      <c r="K26" s="42">
        <f t="shared" si="1"/>
        <v>0</v>
      </c>
      <c r="L26" s="3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1:66" s="34" customFormat="1" ht="24.75" customHeight="1" x14ac:dyDescent="0.25">
      <c r="A27" s="41">
        <v>46256</v>
      </c>
      <c r="B27" s="47"/>
      <c r="C27" s="48"/>
      <c r="D27" s="42"/>
      <c r="E27" s="42"/>
      <c r="F27" s="47"/>
      <c r="G27" s="48"/>
      <c r="H27" s="47"/>
      <c r="I27" s="48"/>
      <c r="J27" s="42">
        <f t="shared" si="0"/>
        <v>0</v>
      </c>
      <c r="K27" s="42">
        <f t="shared" si="1"/>
        <v>0</v>
      </c>
      <c r="L27" s="3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1:66" s="34" customFormat="1" ht="24.75" customHeight="1" x14ac:dyDescent="0.25">
      <c r="A28" s="41">
        <v>46257</v>
      </c>
      <c r="B28" s="47"/>
      <c r="C28" s="48"/>
      <c r="D28" s="42"/>
      <c r="E28" s="42"/>
      <c r="F28" s="47"/>
      <c r="G28" s="48"/>
      <c r="H28" s="47"/>
      <c r="I28" s="48"/>
      <c r="J28" s="42">
        <f t="shared" si="0"/>
        <v>0</v>
      </c>
      <c r="K28" s="42">
        <f t="shared" si="1"/>
        <v>0</v>
      </c>
      <c r="L28" s="3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1:66" s="34" customFormat="1" ht="24.75" customHeight="1" x14ac:dyDescent="0.25">
      <c r="A29" s="41">
        <v>46258</v>
      </c>
      <c r="B29" s="47"/>
      <c r="C29" s="48"/>
      <c r="D29" s="42"/>
      <c r="E29" s="42"/>
      <c r="F29" s="47"/>
      <c r="G29" s="48"/>
      <c r="H29" s="47"/>
      <c r="I29" s="48"/>
      <c r="J29" s="42">
        <f t="shared" si="0"/>
        <v>0</v>
      </c>
      <c r="K29" s="42">
        <f t="shared" si="1"/>
        <v>0</v>
      </c>
      <c r="L29" s="3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1:66" s="34" customFormat="1" ht="24.75" customHeight="1" x14ac:dyDescent="0.25">
      <c r="A30" s="41">
        <v>46259</v>
      </c>
      <c r="B30" s="47"/>
      <c r="C30" s="48"/>
      <c r="D30" s="42"/>
      <c r="E30" s="42"/>
      <c r="F30" s="47"/>
      <c r="G30" s="48"/>
      <c r="H30" s="47"/>
      <c r="I30" s="48"/>
      <c r="J30" s="42">
        <f t="shared" si="0"/>
        <v>0</v>
      </c>
      <c r="K30" s="42">
        <f t="shared" si="1"/>
        <v>0</v>
      </c>
      <c r="L30" s="3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1:66" s="34" customFormat="1" ht="24.75" customHeight="1" x14ac:dyDescent="0.25">
      <c r="A31" s="41">
        <v>46260</v>
      </c>
      <c r="B31" s="47"/>
      <c r="C31" s="48"/>
      <c r="D31" s="42"/>
      <c r="E31" s="42"/>
      <c r="F31" s="47"/>
      <c r="G31" s="48"/>
      <c r="H31" s="47"/>
      <c r="I31" s="48"/>
      <c r="J31" s="42">
        <f t="shared" si="0"/>
        <v>0</v>
      </c>
      <c r="K31" s="42">
        <f t="shared" si="1"/>
        <v>0</v>
      </c>
      <c r="L31" s="3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1:66" s="34" customFormat="1" ht="24.75" customHeight="1" x14ac:dyDescent="0.25">
      <c r="A32" s="41">
        <v>46261</v>
      </c>
      <c r="B32" s="47"/>
      <c r="C32" s="48"/>
      <c r="D32" s="42"/>
      <c r="E32" s="42"/>
      <c r="F32" s="47"/>
      <c r="G32" s="48"/>
      <c r="H32" s="47"/>
      <c r="I32" s="48"/>
      <c r="J32" s="42">
        <f t="shared" si="0"/>
        <v>0</v>
      </c>
      <c r="K32" s="42">
        <f t="shared" si="1"/>
        <v>0</v>
      </c>
      <c r="L32" s="3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1:66" s="34" customFormat="1" ht="24.75" customHeight="1" x14ac:dyDescent="0.25">
      <c r="A33" s="41">
        <v>46262</v>
      </c>
      <c r="B33" s="47"/>
      <c r="C33" s="48"/>
      <c r="D33" s="42"/>
      <c r="E33" s="42"/>
      <c r="F33" s="47"/>
      <c r="G33" s="48"/>
      <c r="H33" s="47"/>
      <c r="I33" s="48"/>
      <c r="J33" s="42">
        <f t="shared" si="0"/>
        <v>0</v>
      </c>
      <c r="K33" s="42">
        <f t="shared" si="1"/>
        <v>0</v>
      </c>
      <c r="L33" s="3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1:66" s="34" customFormat="1" ht="24.75" customHeight="1" x14ac:dyDescent="0.25">
      <c r="A34" s="41">
        <v>46263</v>
      </c>
      <c r="B34" s="47"/>
      <c r="C34" s="48"/>
      <c r="D34" s="42"/>
      <c r="E34" s="42"/>
      <c r="F34" s="47"/>
      <c r="G34" s="48"/>
      <c r="H34" s="47"/>
      <c r="I34" s="48"/>
      <c r="J34" s="42">
        <f t="shared" si="0"/>
        <v>0</v>
      </c>
      <c r="K34" s="42">
        <f t="shared" si="1"/>
        <v>0</v>
      </c>
      <c r="L34" s="3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1:66" s="34" customFormat="1" ht="24.75" customHeight="1" x14ac:dyDescent="0.25">
      <c r="A35" s="41">
        <v>46264</v>
      </c>
      <c r="B35" s="47"/>
      <c r="C35" s="48"/>
      <c r="D35" s="42"/>
      <c r="E35" s="42"/>
      <c r="F35" s="47"/>
      <c r="G35" s="48"/>
      <c r="H35" s="47"/>
      <c r="I35" s="48"/>
      <c r="J35" s="42">
        <f t="shared" si="0"/>
        <v>0</v>
      </c>
      <c r="K35" s="42">
        <f t="shared" si="1"/>
        <v>0</v>
      </c>
      <c r="L35" s="3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1:66" s="34" customFormat="1" ht="24.75" customHeight="1" thickBot="1" x14ac:dyDescent="0.3">
      <c r="A36" s="41">
        <v>46265</v>
      </c>
      <c r="B36" s="47"/>
      <c r="C36" s="48"/>
      <c r="D36" s="42"/>
      <c r="E36" s="42"/>
      <c r="F36" s="47"/>
      <c r="G36" s="48"/>
      <c r="H36" s="47"/>
      <c r="I36" s="48"/>
      <c r="J36" s="42">
        <f t="shared" si="0"/>
        <v>0</v>
      </c>
      <c r="K36" s="42">
        <f t="shared" si="1"/>
        <v>0</v>
      </c>
      <c r="L36" s="3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1:66" s="34" customFormat="1" ht="24.75" hidden="1" customHeight="1" x14ac:dyDescent="0.25">
      <c r="A37" s="49"/>
      <c r="B37" s="47"/>
      <c r="C37" s="48"/>
      <c r="D37" s="42"/>
      <c r="E37" s="42"/>
      <c r="F37" s="47"/>
      <c r="G37" s="48"/>
      <c r="H37" s="47"/>
      <c r="I37" s="48"/>
      <c r="J37" s="50">
        <f t="shared" si="0"/>
        <v>0</v>
      </c>
      <c r="K37" s="55">
        <f t="shared" si="1"/>
        <v>0</v>
      </c>
      <c r="L37" s="3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1:66" s="34" customFormat="1" ht="24.75" hidden="1" customHeight="1" x14ac:dyDescent="0.25">
      <c r="A38" s="49"/>
      <c r="B38" s="47"/>
      <c r="C38" s="48"/>
      <c r="D38" s="42"/>
      <c r="E38" s="42"/>
      <c r="F38" s="47"/>
      <c r="G38" s="48"/>
      <c r="H38" s="47"/>
      <c r="I38" s="48"/>
      <c r="J38" s="50">
        <f t="shared" ref="J38:J67" si="2">B38+D38+F38+H38</f>
        <v>0</v>
      </c>
      <c r="K38" s="55">
        <f t="shared" ref="K38:K67" si="3">C38+E38+G38+I38</f>
        <v>0</v>
      </c>
      <c r="L38" s="3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1:66" s="34" customFormat="1" ht="24.75" hidden="1" customHeight="1" x14ac:dyDescent="0.25">
      <c r="A39" s="49"/>
      <c r="B39" s="47"/>
      <c r="C39" s="48"/>
      <c r="D39" s="42"/>
      <c r="E39" s="42"/>
      <c r="F39" s="47"/>
      <c r="G39" s="48"/>
      <c r="H39" s="47"/>
      <c r="I39" s="48"/>
      <c r="J39" s="50">
        <f t="shared" si="2"/>
        <v>0</v>
      </c>
      <c r="K39" s="55">
        <f t="shared" si="3"/>
        <v>0</v>
      </c>
      <c r="L39" s="3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1:66" s="34" customFormat="1" ht="24.75" hidden="1" customHeight="1" x14ac:dyDescent="0.25">
      <c r="A40" s="49"/>
      <c r="B40" s="47"/>
      <c r="C40" s="48"/>
      <c r="D40" s="42"/>
      <c r="E40" s="42"/>
      <c r="F40" s="47"/>
      <c r="G40" s="48"/>
      <c r="H40" s="47"/>
      <c r="I40" s="48"/>
      <c r="J40" s="50">
        <f t="shared" si="2"/>
        <v>0</v>
      </c>
      <c r="K40" s="55">
        <f t="shared" si="3"/>
        <v>0</v>
      </c>
      <c r="L40" s="3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1:66" s="34" customFormat="1" ht="24.75" hidden="1" customHeight="1" x14ac:dyDescent="0.25">
      <c r="A41" s="49"/>
      <c r="B41" s="47"/>
      <c r="C41" s="48"/>
      <c r="D41" s="42"/>
      <c r="E41" s="42"/>
      <c r="F41" s="47"/>
      <c r="G41" s="48"/>
      <c r="H41" s="47"/>
      <c r="I41" s="48"/>
      <c r="J41" s="50">
        <f t="shared" si="2"/>
        <v>0</v>
      </c>
      <c r="K41" s="55">
        <f t="shared" si="3"/>
        <v>0</v>
      </c>
      <c r="L41" s="3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1:66" s="34" customFormat="1" ht="24.75" hidden="1" customHeight="1" x14ac:dyDescent="0.25">
      <c r="A42" s="49"/>
      <c r="B42" s="47"/>
      <c r="C42" s="48"/>
      <c r="D42" s="42"/>
      <c r="E42" s="42"/>
      <c r="F42" s="47"/>
      <c r="G42" s="48"/>
      <c r="H42" s="47"/>
      <c r="I42" s="48"/>
      <c r="J42" s="50">
        <f t="shared" si="2"/>
        <v>0</v>
      </c>
      <c r="K42" s="55">
        <f t="shared" si="3"/>
        <v>0</v>
      </c>
      <c r="L42" s="3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1:66" s="34" customFormat="1" ht="24.75" hidden="1" customHeight="1" x14ac:dyDescent="0.25">
      <c r="A43" s="49"/>
      <c r="B43" s="47"/>
      <c r="C43" s="48"/>
      <c r="D43" s="42"/>
      <c r="E43" s="42"/>
      <c r="F43" s="47"/>
      <c r="G43" s="48"/>
      <c r="H43" s="47"/>
      <c r="I43" s="48"/>
      <c r="J43" s="50">
        <f t="shared" si="2"/>
        <v>0</v>
      </c>
      <c r="K43" s="55">
        <f t="shared" si="3"/>
        <v>0</v>
      </c>
      <c r="L43" s="3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1:66" s="34" customFormat="1" ht="24.75" hidden="1" customHeight="1" x14ac:dyDescent="0.25">
      <c r="A44" s="49"/>
      <c r="B44" s="47"/>
      <c r="C44" s="48"/>
      <c r="D44" s="42"/>
      <c r="E44" s="42"/>
      <c r="F44" s="47"/>
      <c r="G44" s="48"/>
      <c r="H44" s="47"/>
      <c r="I44" s="48"/>
      <c r="J44" s="50">
        <f t="shared" si="2"/>
        <v>0</v>
      </c>
      <c r="K44" s="55">
        <f t="shared" si="3"/>
        <v>0</v>
      </c>
      <c r="L44" s="3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1:66" s="34" customFormat="1" ht="24.75" hidden="1" customHeight="1" x14ac:dyDescent="0.25">
      <c r="A45" s="49"/>
      <c r="B45" s="47"/>
      <c r="C45" s="48"/>
      <c r="D45" s="42"/>
      <c r="E45" s="42"/>
      <c r="F45" s="47"/>
      <c r="G45" s="48"/>
      <c r="H45" s="47"/>
      <c r="I45" s="48"/>
      <c r="J45" s="50">
        <f t="shared" si="2"/>
        <v>0</v>
      </c>
      <c r="K45" s="55">
        <f t="shared" si="3"/>
        <v>0</v>
      </c>
      <c r="L45" s="3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1:66" s="34" customFormat="1" ht="24.75" hidden="1" customHeight="1" x14ac:dyDescent="0.25">
      <c r="A46" s="49"/>
      <c r="B46" s="47"/>
      <c r="C46" s="48"/>
      <c r="D46" s="42"/>
      <c r="E46" s="42"/>
      <c r="F46" s="47"/>
      <c r="G46" s="48"/>
      <c r="H46" s="47"/>
      <c r="I46" s="48"/>
      <c r="J46" s="50">
        <f t="shared" si="2"/>
        <v>0</v>
      </c>
      <c r="K46" s="55">
        <f t="shared" si="3"/>
        <v>0</v>
      </c>
      <c r="L46" s="3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1:66" s="34" customFormat="1" ht="24.75" hidden="1" customHeight="1" x14ac:dyDescent="0.25">
      <c r="A47" s="49"/>
      <c r="B47" s="47"/>
      <c r="C47" s="48"/>
      <c r="D47" s="42"/>
      <c r="E47" s="42"/>
      <c r="F47" s="47"/>
      <c r="G47" s="48"/>
      <c r="H47" s="47"/>
      <c r="I47" s="48"/>
      <c r="J47" s="50">
        <f t="shared" si="2"/>
        <v>0</v>
      </c>
      <c r="K47" s="55">
        <f t="shared" si="3"/>
        <v>0</v>
      </c>
      <c r="L47" s="3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1:66" s="34" customFormat="1" ht="24.75" hidden="1" customHeight="1" x14ac:dyDescent="0.25">
      <c r="A48" s="49"/>
      <c r="B48" s="47"/>
      <c r="C48" s="48"/>
      <c r="D48" s="42"/>
      <c r="E48" s="42"/>
      <c r="F48" s="47"/>
      <c r="G48" s="48"/>
      <c r="H48" s="47"/>
      <c r="I48" s="48"/>
      <c r="J48" s="50">
        <f t="shared" si="2"/>
        <v>0</v>
      </c>
      <c r="K48" s="55">
        <f t="shared" si="3"/>
        <v>0</v>
      </c>
      <c r="L48" s="3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1:66" s="34" customFormat="1" ht="24.75" hidden="1" customHeight="1" x14ac:dyDescent="0.25">
      <c r="A49" s="49"/>
      <c r="B49" s="47"/>
      <c r="C49" s="48"/>
      <c r="D49" s="42"/>
      <c r="E49" s="42"/>
      <c r="F49" s="47"/>
      <c r="G49" s="48"/>
      <c r="H49" s="47"/>
      <c r="I49" s="48"/>
      <c r="J49" s="50">
        <f t="shared" si="2"/>
        <v>0</v>
      </c>
      <c r="K49" s="55">
        <f t="shared" si="3"/>
        <v>0</v>
      </c>
      <c r="L49" s="3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1:66" s="34" customFormat="1" ht="24.75" hidden="1" customHeight="1" x14ac:dyDescent="0.25">
      <c r="A50" s="49"/>
      <c r="B50" s="47"/>
      <c r="C50" s="48"/>
      <c r="D50" s="42"/>
      <c r="E50" s="42"/>
      <c r="F50" s="47"/>
      <c r="G50" s="48"/>
      <c r="H50" s="47"/>
      <c r="I50" s="48"/>
      <c r="J50" s="50">
        <f t="shared" si="2"/>
        <v>0</v>
      </c>
      <c r="K50" s="55">
        <f t="shared" si="3"/>
        <v>0</v>
      </c>
      <c r="L50" s="3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1:66" s="34" customFormat="1" ht="24.75" hidden="1" customHeight="1" x14ac:dyDescent="0.25">
      <c r="A51" s="49"/>
      <c r="B51" s="47"/>
      <c r="C51" s="48"/>
      <c r="D51" s="42"/>
      <c r="E51" s="42"/>
      <c r="F51" s="47"/>
      <c r="G51" s="48"/>
      <c r="H51" s="47"/>
      <c r="I51" s="48"/>
      <c r="J51" s="50">
        <f t="shared" si="2"/>
        <v>0</v>
      </c>
      <c r="K51" s="55">
        <f t="shared" si="3"/>
        <v>0</v>
      </c>
      <c r="L51" s="3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1:66" s="34" customFormat="1" ht="24.75" hidden="1" customHeight="1" x14ac:dyDescent="0.25">
      <c r="A52" s="49"/>
      <c r="B52" s="47"/>
      <c r="C52" s="48"/>
      <c r="D52" s="47"/>
      <c r="E52" s="42"/>
      <c r="F52" s="47"/>
      <c r="G52" s="48"/>
      <c r="H52" s="47"/>
      <c r="I52" s="48"/>
      <c r="J52" s="50">
        <f t="shared" si="2"/>
        <v>0</v>
      </c>
      <c r="K52" s="55">
        <f t="shared" si="3"/>
        <v>0</v>
      </c>
      <c r="L52" s="3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1:66" s="34" customFormat="1" ht="24.75" hidden="1" customHeight="1" x14ac:dyDescent="0.25">
      <c r="A53" s="49"/>
      <c r="B53" s="47"/>
      <c r="C53" s="48"/>
      <c r="D53" s="47"/>
      <c r="E53" s="42"/>
      <c r="F53" s="47"/>
      <c r="G53" s="48"/>
      <c r="H53" s="47"/>
      <c r="I53" s="48"/>
      <c r="J53" s="50">
        <f t="shared" si="2"/>
        <v>0</v>
      </c>
      <c r="K53" s="55">
        <f t="shared" si="3"/>
        <v>0</v>
      </c>
      <c r="L53" s="3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1:66" s="34" customFormat="1" ht="24.75" hidden="1" customHeight="1" x14ac:dyDescent="0.25">
      <c r="A54" s="49"/>
      <c r="B54" s="47"/>
      <c r="C54" s="48"/>
      <c r="D54" s="47"/>
      <c r="E54" s="42"/>
      <c r="F54" s="47"/>
      <c r="G54" s="48"/>
      <c r="H54" s="47"/>
      <c r="I54" s="48"/>
      <c r="J54" s="50">
        <f t="shared" si="2"/>
        <v>0</v>
      </c>
      <c r="K54" s="55">
        <f t="shared" si="3"/>
        <v>0</v>
      </c>
      <c r="L54" s="3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1:66" s="34" customFormat="1" ht="24.75" hidden="1" customHeight="1" x14ac:dyDescent="0.25">
      <c r="A55" s="49"/>
      <c r="B55" s="47"/>
      <c r="C55" s="48"/>
      <c r="D55" s="47"/>
      <c r="E55" s="42"/>
      <c r="F55" s="47"/>
      <c r="G55" s="48"/>
      <c r="H55" s="47"/>
      <c r="I55" s="48"/>
      <c r="J55" s="50">
        <f t="shared" si="2"/>
        <v>0</v>
      </c>
      <c r="K55" s="55">
        <f t="shared" si="3"/>
        <v>0</v>
      </c>
      <c r="L55" s="3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1:66" s="34" customFormat="1" ht="24.75" hidden="1" customHeight="1" x14ac:dyDescent="0.25">
      <c r="A56" s="49"/>
      <c r="B56" s="47"/>
      <c r="C56" s="48"/>
      <c r="D56" s="47"/>
      <c r="E56" s="42"/>
      <c r="F56" s="47"/>
      <c r="G56" s="48"/>
      <c r="H56" s="47"/>
      <c r="I56" s="48"/>
      <c r="J56" s="50">
        <f t="shared" si="2"/>
        <v>0</v>
      </c>
      <c r="K56" s="55">
        <f t="shared" si="3"/>
        <v>0</v>
      </c>
      <c r="L56" s="3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1:66" s="34" customFormat="1" ht="24.75" hidden="1" customHeight="1" x14ac:dyDescent="0.25">
      <c r="A57" s="49"/>
      <c r="B57" s="47"/>
      <c r="C57" s="48"/>
      <c r="D57" s="47"/>
      <c r="E57" s="42"/>
      <c r="F57" s="47"/>
      <c r="G57" s="48"/>
      <c r="H57" s="47"/>
      <c r="I57" s="48"/>
      <c r="J57" s="50">
        <f t="shared" si="2"/>
        <v>0</v>
      </c>
      <c r="K57" s="55">
        <f t="shared" si="3"/>
        <v>0</v>
      </c>
      <c r="L57" s="3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1:66" s="34" customFormat="1" ht="24.75" hidden="1" customHeight="1" x14ac:dyDescent="0.25">
      <c r="A58" s="49"/>
      <c r="B58" s="47"/>
      <c r="C58" s="48"/>
      <c r="D58" s="47"/>
      <c r="E58" s="42"/>
      <c r="F58" s="47"/>
      <c r="G58" s="48"/>
      <c r="H58" s="47"/>
      <c r="I58" s="48"/>
      <c r="J58" s="50">
        <f t="shared" si="2"/>
        <v>0</v>
      </c>
      <c r="K58" s="55">
        <f t="shared" si="3"/>
        <v>0</v>
      </c>
      <c r="L58" s="3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1:66" s="34" customFormat="1" ht="24.75" hidden="1" customHeight="1" x14ac:dyDescent="0.25">
      <c r="A59" s="49"/>
      <c r="B59" s="47"/>
      <c r="C59" s="48"/>
      <c r="D59" s="47"/>
      <c r="E59" s="42"/>
      <c r="F59" s="47"/>
      <c r="G59" s="48"/>
      <c r="H59" s="47"/>
      <c r="I59" s="48"/>
      <c r="J59" s="50">
        <f t="shared" si="2"/>
        <v>0</v>
      </c>
      <c r="K59" s="55">
        <f t="shared" si="3"/>
        <v>0</v>
      </c>
      <c r="L59" s="3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1:66" s="34" customFormat="1" ht="24.75" hidden="1" customHeight="1" x14ac:dyDescent="0.25">
      <c r="A60" s="49"/>
      <c r="B60" s="47"/>
      <c r="C60" s="48"/>
      <c r="D60" s="47"/>
      <c r="E60" s="42"/>
      <c r="F60" s="47"/>
      <c r="G60" s="48"/>
      <c r="H60" s="47"/>
      <c r="I60" s="48"/>
      <c r="J60" s="50">
        <f t="shared" si="2"/>
        <v>0</v>
      </c>
      <c r="K60" s="55">
        <f t="shared" si="3"/>
        <v>0</v>
      </c>
      <c r="L60" s="3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1:66" s="34" customFormat="1" ht="24.75" hidden="1" customHeight="1" x14ac:dyDescent="0.25">
      <c r="A61" s="49"/>
      <c r="B61" s="47"/>
      <c r="C61" s="48"/>
      <c r="D61" s="47"/>
      <c r="E61" s="42"/>
      <c r="F61" s="47"/>
      <c r="G61" s="48"/>
      <c r="H61" s="47"/>
      <c r="I61" s="48"/>
      <c r="J61" s="50">
        <f t="shared" si="2"/>
        <v>0</v>
      </c>
      <c r="K61" s="55">
        <f t="shared" si="3"/>
        <v>0</v>
      </c>
      <c r="L61" s="3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1:66" s="34" customFormat="1" ht="24.75" hidden="1" customHeight="1" x14ac:dyDescent="0.25">
      <c r="A62" s="49"/>
      <c r="B62" s="47"/>
      <c r="C62" s="48"/>
      <c r="D62" s="47"/>
      <c r="E62" s="42"/>
      <c r="F62" s="47"/>
      <c r="G62" s="48"/>
      <c r="H62" s="47"/>
      <c r="I62" s="48"/>
      <c r="J62" s="50">
        <f t="shared" si="2"/>
        <v>0</v>
      </c>
      <c r="K62" s="55">
        <f t="shared" si="3"/>
        <v>0</v>
      </c>
      <c r="L62" s="3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1:66" s="34" customFormat="1" ht="24.75" hidden="1" customHeight="1" x14ac:dyDescent="0.25">
      <c r="A63" s="49"/>
      <c r="B63" s="47"/>
      <c r="C63" s="48"/>
      <c r="D63" s="47"/>
      <c r="E63" s="42"/>
      <c r="F63" s="47"/>
      <c r="G63" s="48"/>
      <c r="H63" s="47"/>
      <c r="I63" s="48"/>
      <c r="J63" s="50">
        <f t="shared" si="2"/>
        <v>0</v>
      </c>
      <c r="K63" s="55">
        <f t="shared" si="3"/>
        <v>0</v>
      </c>
      <c r="L63" s="3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1:66" s="34" customFormat="1" ht="24.75" hidden="1" customHeight="1" x14ac:dyDescent="0.25">
      <c r="A64" s="49"/>
      <c r="B64" s="47"/>
      <c r="C64" s="48"/>
      <c r="D64" s="47"/>
      <c r="E64" s="42"/>
      <c r="F64" s="47"/>
      <c r="G64" s="48"/>
      <c r="H64" s="47"/>
      <c r="I64" s="48"/>
      <c r="J64" s="50">
        <f t="shared" si="2"/>
        <v>0</v>
      </c>
      <c r="K64" s="55">
        <f t="shared" si="3"/>
        <v>0</v>
      </c>
      <c r="L64" s="3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1:66" s="34" customFormat="1" ht="24.75" hidden="1" customHeight="1" x14ac:dyDescent="0.25">
      <c r="A65" s="49"/>
      <c r="B65" s="47"/>
      <c r="C65" s="48"/>
      <c r="D65" s="47"/>
      <c r="E65" s="48"/>
      <c r="F65" s="47"/>
      <c r="G65" s="48"/>
      <c r="H65" s="47"/>
      <c r="I65" s="48"/>
      <c r="J65" s="50">
        <f t="shared" si="2"/>
        <v>0</v>
      </c>
      <c r="K65" s="55">
        <f t="shared" si="3"/>
        <v>0</v>
      </c>
      <c r="L65" s="3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1:66" s="34" customFormat="1" ht="24.75" hidden="1" customHeight="1" x14ac:dyDescent="0.25">
      <c r="A66" s="49"/>
      <c r="B66" s="47"/>
      <c r="C66" s="48"/>
      <c r="D66" s="47"/>
      <c r="E66" s="48"/>
      <c r="F66" s="47"/>
      <c r="G66" s="48"/>
      <c r="H66" s="47"/>
      <c r="I66" s="48"/>
      <c r="J66" s="50">
        <f t="shared" si="2"/>
        <v>0</v>
      </c>
      <c r="K66" s="55">
        <f t="shared" si="3"/>
        <v>0</v>
      </c>
      <c r="L66" s="3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1:66" s="34" customFormat="1" ht="24.75" hidden="1" customHeight="1" x14ac:dyDescent="0.25">
      <c r="A67" s="49"/>
      <c r="B67" s="47"/>
      <c r="C67" s="48"/>
      <c r="D67" s="47"/>
      <c r="E67" s="48"/>
      <c r="F67" s="47"/>
      <c r="G67" s="48"/>
      <c r="H67" s="47"/>
      <c r="I67" s="48"/>
      <c r="J67" s="50">
        <f t="shared" si="2"/>
        <v>0</v>
      </c>
      <c r="K67" s="55">
        <f t="shared" si="3"/>
        <v>0</v>
      </c>
      <c r="L67" s="3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1:66" ht="15" customHeight="1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66" ht="15" customHeight="1" x14ac:dyDescent="0.25">
      <c r="A69" s="23" t="s">
        <v>78</v>
      </c>
      <c r="B69" s="24" t="s">
        <v>148</v>
      </c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66" ht="15" customHeight="1" x14ac:dyDescent="0.2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66" ht="15" customHeight="1" x14ac:dyDescent="0.25">
      <c r="A71" s="37" t="s">
        <v>149</v>
      </c>
      <c r="B71" s="53">
        <f t="shared" ref="B71:K71" si="4">SUM(B6:B67)</f>
        <v>50</v>
      </c>
      <c r="C71" s="54">
        <f t="shared" si="4"/>
        <v>1663.17</v>
      </c>
      <c r="D71" s="53">
        <f t="shared" si="4"/>
        <v>71</v>
      </c>
      <c r="E71" s="54">
        <f t="shared" si="4"/>
        <v>1619.8799999999999</v>
      </c>
      <c r="F71" s="53">
        <f t="shared" si="4"/>
        <v>32</v>
      </c>
      <c r="G71" s="54">
        <f t="shared" si="4"/>
        <v>972.16</v>
      </c>
      <c r="H71" s="53">
        <f t="shared" si="4"/>
        <v>0</v>
      </c>
      <c r="I71" s="54">
        <f t="shared" si="4"/>
        <v>0</v>
      </c>
      <c r="J71" s="53">
        <f t="shared" si="4"/>
        <v>153</v>
      </c>
      <c r="K71" s="56">
        <f t="shared" si="4"/>
        <v>4255.2099999999991</v>
      </c>
      <c r="L71" s="35"/>
    </row>
    <row r="72" spans="1:66" ht="15.75" customHeight="1" x14ac:dyDescent="0.2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66" ht="30" customHeight="1" x14ac:dyDescent="0.2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66" ht="15" customHeight="1" x14ac:dyDescent="0.2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66" ht="15" customHeight="1" x14ac:dyDescent="0.2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66" ht="15" customHeight="1" x14ac:dyDescent="0.2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66" ht="15" customHeight="1" x14ac:dyDescent="0.2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66" ht="15" customHeight="1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66" ht="15" customHeight="1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66" ht="15" customHeight="1" x14ac:dyDescent="0.2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15" customHeight="1" x14ac:dyDescent="0.2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" customHeight="1" x14ac:dyDescent="0.2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" customHeight="1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" customHeight="1" x14ac:dyDescent="0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" customHeight="1" x14ac:dyDescent="0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" customHeight="1" x14ac:dyDescent="0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" customHeight="1" x14ac:dyDescent="0.2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15" customHeight="1" x14ac:dyDescent="0.2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" customHeight="1" x14ac:dyDescent="0.2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" customHeight="1" x14ac:dyDescent="0.2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" customHeight="1" x14ac:dyDescent="0.2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" customHeight="1" x14ac:dyDescent="0.2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" customHeight="1" x14ac:dyDescent="0.2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" customHeight="1" x14ac:dyDescent="0.2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" customHeight="1" x14ac:dyDescent="0.2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</sheetData>
  <mergeCells count="9">
    <mergeCell ref="A1:K1"/>
    <mergeCell ref="A2:K2"/>
    <mergeCell ref="A4:A5"/>
    <mergeCell ref="B4:C4"/>
    <mergeCell ref="D4:E4"/>
    <mergeCell ref="F4:G4"/>
    <mergeCell ref="H4:I4"/>
    <mergeCell ref="J4:J5"/>
    <mergeCell ref="K4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zoomScaleNormal="100" workbookViewId="0">
      <selection activeCell="A3" sqref="A3"/>
    </sheetView>
  </sheetViews>
  <sheetFormatPr defaultColWidth="8.7109375" defaultRowHeight="15" x14ac:dyDescent="0.25"/>
  <cols>
    <col min="1" max="1" width="20.42578125" style="1" customWidth="1"/>
    <col min="2" max="2" width="14.5703125" style="1" customWidth="1"/>
    <col min="3" max="3" width="27.42578125" style="1" customWidth="1"/>
    <col min="4" max="4" width="13.140625" style="1" customWidth="1"/>
    <col min="5" max="5" width="14" style="1" customWidth="1"/>
  </cols>
  <sheetData>
    <row r="1" spans="1:5" ht="15" customHeight="1" x14ac:dyDescent="0.25">
      <c r="A1" s="22" t="s">
        <v>80</v>
      </c>
    </row>
    <row r="2" spans="1:5" ht="23.25" customHeight="1" x14ac:dyDescent="0.25">
      <c r="A2" s="19" t="s">
        <v>81</v>
      </c>
      <c r="B2" s="19" t="s">
        <v>82</v>
      </c>
      <c r="C2" s="19" t="s">
        <v>161</v>
      </c>
      <c r="D2" s="19" t="s">
        <v>84</v>
      </c>
      <c r="E2" s="19" t="s">
        <v>75</v>
      </c>
    </row>
    <row r="3" spans="1:5" ht="15" customHeight="1" x14ac:dyDescent="0.25">
      <c r="A3" s="109" t="s">
        <v>176</v>
      </c>
      <c r="B3" s="25">
        <v>0</v>
      </c>
      <c r="C3">
        <v>115</v>
      </c>
      <c r="D3" s="1">
        <f t="shared" ref="D3:D19" si="0">MAX(C3-B3,0)</f>
        <v>115</v>
      </c>
      <c r="E3" s="1" t="str">
        <f t="shared" ref="E3:E18" si="1">IF(AND(B3&lt;&gt;"",C3&lt;&gt;""),IF(B3&lt;C3,"SHORTAGE","OK"),"")</f>
        <v>SHORTAGE</v>
      </c>
    </row>
    <row r="4" spans="1:5" ht="15" customHeight="1" x14ac:dyDescent="0.25">
      <c r="A4" s="109" t="s">
        <v>177</v>
      </c>
      <c r="B4" s="26">
        <v>0</v>
      </c>
      <c r="C4">
        <v>1.5</v>
      </c>
      <c r="D4" s="1">
        <f t="shared" si="0"/>
        <v>1.5</v>
      </c>
      <c r="E4" s="1" t="str">
        <f t="shared" si="1"/>
        <v>SHORTAGE</v>
      </c>
    </row>
    <row r="5" spans="1:5" ht="15" customHeight="1" x14ac:dyDescent="0.25">
      <c r="A5" s="109" t="s">
        <v>178</v>
      </c>
      <c r="B5" s="25">
        <v>0</v>
      </c>
      <c r="C5">
        <v>35</v>
      </c>
      <c r="D5" s="1">
        <f t="shared" si="0"/>
        <v>35</v>
      </c>
      <c r="E5" s="1" t="str">
        <f t="shared" si="1"/>
        <v>SHORTAGE</v>
      </c>
    </row>
    <row r="6" spans="1:5" ht="15" customHeight="1" x14ac:dyDescent="0.25">
      <c r="A6" s="109" t="s">
        <v>179</v>
      </c>
      <c r="B6" s="26">
        <v>0</v>
      </c>
      <c r="C6">
        <v>145</v>
      </c>
      <c r="D6" s="1">
        <f t="shared" si="0"/>
        <v>145</v>
      </c>
      <c r="E6" s="1" t="str">
        <f t="shared" si="1"/>
        <v>SHORTAGE</v>
      </c>
    </row>
    <row r="7" spans="1:5" ht="15" customHeight="1" x14ac:dyDescent="0.25">
      <c r="A7" s="109" t="s">
        <v>180</v>
      </c>
      <c r="B7" s="25">
        <v>0</v>
      </c>
      <c r="C7">
        <v>25</v>
      </c>
      <c r="D7" s="1">
        <f t="shared" si="0"/>
        <v>25</v>
      </c>
      <c r="E7" s="1" t="str">
        <f t="shared" si="1"/>
        <v>SHORTAGE</v>
      </c>
    </row>
    <row r="8" spans="1:5" ht="15" customHeight="1" x14ac:dyDescent="0.25">
      <c r="A8" s="109" t="s">
        <v>181</v>
      </c>
      <c r="B8" s="25">
        <v>0</v>
      </c>
      <c r="C8">
        <v>13</v>
      </c>
      <c r="D8" s="1">
        <f t="shared" si="0"/>
        <v>13</v>
      </c>
      <c r="E8" s="1" t="str">
        <f t="shared" si="1"/>
        <v>SHORTAGE</v>
      </c>
    </row>
    <row r="9" spans="1:5" ht="15" customHeight="1" x14ac:dyDescent="0.25">
      <c r="A9" s="109" t="s">
        <v>182</v>
      </c>
      <c r="B9" s="25">
        <v>0</v>
      </c>
      <c r="C9">
        <v>12</v>
      </c>
      <c r="D9" s="1">
        <f t="shared" si="0"/>
        <v>12</v>
      </c>
      <c r="E9" s="1" t="str">
        <f t="shared" si="1"/>
        <v>SHORTAGE</v>
      </c>
    </row>
    <row r="10" spans="1:5" ht="15" customHeight="1" x14ac:dyDescent="0.25">
      <c r="A10" s="109" t="s">
        <v>183</v>
      </c>
      <c r="B10" s="25">
        <v>0</v>
      </c>
      <c r="C10">
        <v>10</v>
      </c>
      <c r="D10" s="1">
        <f t="shared" si="0"/>
        <v>10</v>
      </c>
      <c r="E10" s="1" t="str">
        <f t="shared" si="1"/>
        <v>SHORTAGE</v>
      </c>
    </row>
    <row r="11" spans="1:5" ht="15" customHeight="1" x14ac:dyDescent="0.25">
      <c r="A11" s="109" t="s">
        <v>184</v>
      </c>
      <c r="B11" s="25">
        <v>0</v>
      </c>
      <c r="C11">
        <v>6</v>
      </c>
      <c r="D11" s="1">
        <f t="shared" si="0"/>
        <v>6</v>
      </c>
      <c r="E11" s="1" t="str">
        <f t="shared" si="1"/>
        <v>SHORTAGE</v>
      </c>
    </row>
    <row r="12" spans="1:5" ht="15" customHeight="1" x14ac:dyDescent="0.25">
      <c r="A12" s="109" t="s">
        <v>185</v>
      </c>
      <c r="B12" s="25">
        <v>0</v>
      </c>
      <c r="C12">
        <v>0.5</v>
      </c>
      <c r="D12" s="1">
        <f t="shared" si="0"/>
        <v>0.5</v>
      </c>
      <c r="E12" s="1" t="str">
        <f t="shared" si="1"/>
        <v>SHORTAGE</v>
      </c>
    </row>
    <row r="13" spans="1:5" ht="15" customHeight="1" x14ac:dyDescent="0.25">
      <c r="A13" s="109" t="s">
        <v>186</v>
      </c>
      <c r="B13" s="25">
        <v>0</v>
      </c>
      <c r="C13">
        <v>8</v>
      </c>
      <c r="D13" s="1">
        <f t="shared" si="0"/>
        <v>8</v>
      </c>
      <c r="E13" s="1" t="str">
        <f t="shared" si="1"/>
        <v>SHORTAGE</v>
      </c>
    </row>
    <row r="14" spans="1:5" ht="15" customHeight="1" x14ac:dyDescent="0.25">
      <c r="A14" s="109" t="s">
        <v>187</v>
      </c>
      <c r="B14" s="25">
        <v>0</v>
      </c>
      <c r="C14">
        <v>26</v>
      </c>
      <c r="D14" s="1">
        <f t="shared" si="0"/>
        <v>26</v>
      </c>
      <c r="E14" s="1" t="str">
        <f t="shared" si="1"/>
        <v>SHORTAGE</v>
      </c>
    </row>
    <row r="15" spans="1:5" ht="15" customHeight="1" x14ac:dyDescent="0.25">
      <c r="A15" s="109" t="s">
        <v>188</v>
      </c>
      <c r="B15" s="25">
        <v>0</v>
      </c>
      <c r="C15">
        <v>3</v>
      </c>
      <c r="D15" s="1">
        <f t="shared" si="0"/>
        <v>3</v>
      </c>
      <c r="E15" s="1" t="str">
        <f t="shared" si="1"/>
        <v>SHORTAGE</v>
      </c>
    </row>
    <row r="16" spans="1:5" ht="15" customHeight="1" x14ac:dyDescent="0.25">
      <c r="A16" s="109" t="s">
        <v>189</v>
      </c>
      <c r="B16" s="25">
        <v>0</v>
      </c>
      <c r="C16">
        <v>8</v>
      </c>
      <c r="D16" s="1">
        <f t="shared" si="0"/>
        <v>8</v>
      </c>
      <c r="E16" s="1" t="str">
        <f t="shared" si="1"/>
        <v>SHORTAGE</v>
      </c>
    </row>
    <row r="17" spans="1:5" ht="15" customHeight="1" x14ac:dyDescent="0.25">
      <c r="A17" s="109" t="s">
        <v>190</v>
      </c>
      <c r="B17" s="25">
        <v>0</v>
      </c>
      <c r="C17">
        <v>2</v>
      </c>
      <c r="D17" s="1">
        <f t="shared" si="0"/>
        <v>2</v>
      </c>
      <c r="E17" s="1" t="str">
        <f t="shared" si="1"/>
        <v>SHORTAGE</v>
      </c>
    </row>
    <row r="18" spans="1:5" ht="15" customHeight="1" x14ac:dyDescent="0.25">
      <c r="A18" s="26"/>
      <c r="B18" s="26"/>
      <c r="C18" s="26"/>
      <c r="D18" s="1">
        <f t="shared" si="0"/>
        <v>0</v>
      </c>
      <c r="E18" s="1" t="str">
        <f t="shared" si="1"/>
        <v/>
      </c>
    </row>
    <row r="19" spans="1:5" ht="15" customHeight="1" x14ac:dyDescent="0.25">
      <c r="D19" s="1">
        <f t="shared" si="0"/>
        <v>0</v>
      </c>
    </row>
    <row r="20" spans="1:5" ht="15" customHeight="1" x14ac:dyDescent="0.25">
      <c r="A20" s="22" t="s">
        <v>85</v>
      </c>
    </row>
    <row r="21" spans="1:5" ht="23.25" customHeight="1" x14ac:dyDescent="0.25">
      <c r="A21" s="19" t="s">
        <v>86</v>
      </c>
      <c r="B21" s="19" t="s">
        <v>82</v>
      </c>
      <c r="C21" s="19" t="s">
        <v>87</v>
      </c>
      <c r="D21" s="19" t="s">
        <v>75</v>
      </c>
    </row>
    <row r="22" spans="1:5" ht="15" customHeight="1" x14ac:dyDescent="0.25">
      <c r="A22" s="25"/>
      <c r="B22" s="25">
        <v>0</v>
      </c>
      <c r="C22" s="25">
        <v>0</v>
      </c>
      <c r="D22" s="1" t="str">
        <f>IF(B22&lt;&gt;"",IF(B22&lt;=0,"STOCK OUT","OK"),"")</f>
        <v>STOCK OUT</v>
      </c>
    </row>
    <row r="23" spans="1:5" ht="15" customHeight="1" x14ac:dyDescent="0.25">
      <c r="A23" s="26"/>
      <c r="B23" s="26">
        <v>0</v>
      </c>
      <c r="C23" s="26">
        <v>0</v>
      </c>
      <c r="D23" s="1" t="str">
        <f>IF(B23&lt;&gt;"",IF(B23&lt;=0,"STOCK OUT","OK"),"")</f>
        <v>STOCK OUT</v>
      </c>
    </row>
    <row r="24" spans="1:5" ht="15" customHeight="1" x14ac:dyDescent="0.25">
      <c r="A24" s="25"/>
      <c r="B24" s="25"/>
      <c r="C24" s="25"/>
      <c r="D24" s="1" t="str">
        <f>IF(B24&lt;&gt;"",IF(B24&lt;=0,"STOCK OUT","OK"),"")</f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Production Dashboard</vt:lpstr>
      <vt:lpstr>Inventory &amp; Transport Dashboard</vt:lpstr>
      <vt:lpstr>Data Entry Sheet</vt:lpstr>
      <vt:lpstr>Transport Sheet</vt:lpstr>
      <vt:lpstr>FG Sheet</vt:lpstr>
      <vt:lpstr>RM Sheet</vt:lpstr>
      <vt:lpstr>Shortage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RGSUSER10</cp:lastModifiedBy>
  <cp:revision>4</cp:revision>
  <dcterms:created xsi:type="dcterms:W3CDTF">2026-07-15T08:15:24Z</dcterms:created>
  <dcterms:modified xsi:type="dcterms:W3CDTF">2026-08-12T13:14:50Z</dcterms:modified>
  <dc:language>en-US</dc:language>
</cp:coreProperties>
</file>