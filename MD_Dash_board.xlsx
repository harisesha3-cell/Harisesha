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00" windowHeight="7755" tabRatio="500" firstSheet="2" activeTab="4" autoFilterDateGrouping="1"/>
  </bookViews>
  <sheets>
    <sheet xmlns:r="http://schemas.openxmlformats.org/officeDocument/2006/relationships" name="Production Dashboard" sheetId="1" state="visible" r:id="rId1"/>
    <sheet xmlns:r="http://schemas.openxmlformats.org/officeDocument/2006/relationships" name="Inventory &amp; Transport Dashboard" sheetId="2" state="visible" r:id="rId2"/>
    <sheet xmlns:r="http://schemas.openxmlformats.org/officeDocument/2006/relationships" name="Data Entry Sheet" sheetId="3" state="visible" r:id="rId3"/>
    <sheet xmlns:r="http://schemas.openxmlformats.org/officeDocument/2006/relationships" name="Transport Sheet" sheetId="4" state="visible" r:id="rId4"/>
    <sheet xmlns:r="http://schemas.openxmlformats.org/officeDocument/2006/relationships" name="FG Sheet" sheetId="5" state="visible" r:id="rId5"/>
    <sheet xmlns:r="http://schemas.openxmlformats.org/officeDocument/2006/relationships" name="RM Sheet" sheetId="6" state="visible" r:id="rId6"/>
    <sheet xmlns:r="http://schemas.openxmlformats.org/officeDocument/2006/relationships" name="Shortage" sheetId="7" state="visible" r:id="rId7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dd\-mmm\-yyyy"/>
  </numFmts>
  <fonts count="39">
    <font>
      <name val="Calibri"/>
      <charset val="1"/>
      <family val="2"/>
      <color theme="1"/>
      <sz val="11"/>
    </font>
    <font>
      <name val="Calibri"/>
      <family val="2"/>
      <b val="1"/>
      <color rgb="FF1F3864"/>
      <sz val="20"/>
    </font>
    <font>
      <name val="Calibri"/>
      <family val="2"/>
      <b val="1"/>
      <color rgb="FF2E5395"/>
      <sz val="13"/>
    </font>
    <font>
      <name val="Calibri"/>
      <family val="2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595959"/>
      <sz val="8"/>
    </font>
    <font>
      <name val="Calibri"/>
      <family val="2"/>
      <b val="1"/>
      <color rgb="FF1F3864"/>
      <sz val="14"/>
    </font>
    <font>
      <name val="Calibri"/>
      <family val="2"/>
      <b val="1"/>
      <color rgb="FF1E7B45"/>
      <sz val="14"/>
    </font>
    <font>
      <name val="Calibri"/>
      <family val="2"/>
      <b val="1"/>
      <color rgb="FF5B2C6F"/>
      <sz val="14"/>
    </font>
    <font>
      <name val="Calibri"/>
      <charset val="1"/>
      <family val="2"/>
      <b val="1"/>
      <color rgb="FF595959"/>
      <sz val="9"/>
    </font>
    <font>
      <name val="Calibri"/>
      <family val="2"/>
      <b val="1"/>
      <sz val="9"/>
    </font>
    <font>
      <name val="Calibri"/>
      <family val="2"/>
      <b val="1"/>
      <color rgb="FFFFFFFF"/>
      <sz val="9"/>
    </font>
    <font>
      <name val="Calibri"/>
      <family val="2"/>
      <sz val="10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Arial"/>
      <family val="2"/>
      <b val="1"/>
      <color rgb="FFFFFFFF"/>
      <sz val="16"/>
    </font>
    <font>
      <name val="Arial"/>
      <family val="2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595959"/>
      <sz val="9"/>
    </font>
    <font>
      <name val="Arial"/>
      <family val="2"/>
      <b val="1"/>
      <color rgb="FF1F3864"/>
      <sz val="20"/>
    </font>
    <font>
      <name val="Arial"/>
      <family val="2"/>
      <b val="1"/>
      <color rgb="FF1F3864"/>
      <sz val="12"/>
    </font>
    <font>
      <name val="Arial"/>
      <family val="2"/>
      <b val="1"/>
      <color rgb="FF1F3864"/>
      <sz val="10"/>
    </font>
    <font>
      <name val="Arial"/>
      <family val="2"/>
      <b val="1"/>
      <color rgb="FFC00000"/>
      <sz val="12"/>
    </font>
    <font>
      <name val="Arial"/>
      <family val="2"/>
      <b val="1"/>
      <color rgb="FF666666"/>
      <sz val="10"/>
    </font>
    <font>
      <name val="Arial"/>
      <family val="2"/>
      <color rgb="FF666666"/>
      <sz val="10"/>
    </font>
    <font>
      <name val="Arial"/>
      <family val="2"/>
      <color rgb="FF0000FF"/>
      <sz val="10"/>
    </font>
    <font>
      <name val="Calibri"/>
      <family val="2"/>
      <b val="1"/>
      <color rgb="FF1F3864"/>
      <sz val="18"/>
    </font>
    <font>
      <name val="Calibri"/>
      <family val="2"/>
      <b val="1"/>
      <color rgb="FF333333"/>
      <sz val="10"/>
    </font>
    <font>
      <name val="Calibri"/>
      <family val="2"/>
      <i val="1"/>
      <color rgb="FF666666"/>
      <sz val="9"/>
    </font>
    <font>
      <name val="Arial"/>
      <family val="2"/>
      <sz val="11"/>
    </font>
    <font>
      <name val="Arial"/>
      <family val="2"/>
      <b val="1"/>
      <color rgb="FFFFFFFF"/>
      <sz val="12"/>
    </font>
    <font>
      <name val="Arial"/>
      <family val="2"/>
      <color rgb="FF0000FF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rgb="FF666666"/>
      <sz val="14"/>
    </font>
    <font>
      <name val="Arial"/>
      <family val="2"/>
      <b val="1"/>
      <color rgb="FFFF0000"/>
      <sz val="11"/>
    </font>
  </fonts>
  <fills count="17">
    <fill>
      <patternFill/>
    </fill>
    <fill>
      <patternFill patternType="gray125"/>
    </fill>
    <fill>
      <patternFill patternType="solid">
        <fgColor rgb="FF2E5395"/>
        <bgColor rgb="FF44546A"/>
      </patternFill>
    </fill>
    <fill>
      <patternFill patternType="solid">
        <fgColor rgb="FFDCE6F1"/>
        <bgColor rgb="FFEAE1F5"/>
      </patternFill>
    </fill>
    <fill>
      <patternFill patternType="solid">
        <fgColor rgb="FFE2F0D9"/>
        <bgColor rgb="FFDCE6F1"/>
      </patternFill>
    </fill>
    <fill>
      <patternFill patternType="solid">
        <fgColor rgb="FFEAE1F5"/>
        <bgColor rgb="FFDCE6F1"/>
      </patternFill>
    </fill>
    <fill>
      <patternFill patternType="solid">
        <fgColor rgb="FF44546A"/>
        <bgColor rgb="FF595959"/>
      </patternFill>
    </fill>
    <fill>
      <patternFill patternType="solid">
        <fgColor rgb="FF8B3A3A"/>
        <bgColor rgb="FFA0522D"/>
      </patternFill>
    </fill>
    <fill>
      <patternFill patternType="solid">
        <fgColor rgb="FFA0522D"/>
        <bgColor rgb="FF8B3A3A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B2C6F"/>
        <bgColor rgb="FF333333"/>
      </patternFill>
    </fill>
    <fill>
      <patternFill patternType="solid">
        <fgColor rgb="FF0F6B72"/>
        <bgColor rgb="FF1E7B45"/>
      </patternFill>
    </fill>
    <fill>
      <patternFill patternType="solid">
        <fgColor rgb="FF1E7B45"/>
        <bgColor rgb="FF0F6B72"/>
      </patternFill>
    </fill>
    <fill>
      <patternFill patternType="solid">
        <fgColor theme="2" tint="-0.09997863704336681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3" fontId="0" fillId="0" borderId="0" pivotButton="0" quotePrefix="0" xfId="0"/>
    <xf numFmtId="0" fontId="11" fillId="6" borderId="1" applyAlignment="1" pivotButton="0" quotePrefix="0" xfId="0">
      <alignment horizontal="center" vertical="center"/>
    </xf>
    <xf numFmtId="0" fontId="12" fillId="0" borderId="0" pivotButton="0" quotePrefix="0" xfId="0"/>
    <xf numFmtId="164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4" fillId="3" borderId="0" pivotButton="0" quotePrefix="0" xfId="0"/>
    <xf numFmtId="164" fontId="14" fillId="3" borderId="0" applyAlignment="1" pivotButton="0" quotePrefix="0" xfId="0">
      <alignment horizontal="center" vertical="center"/>
    </xf>
    <xf numFmtId="165" fontId="14" fillId="3" borderId="0" applyAlignment="1" pivotButton="0" quotePrefix="0" xfId="0">
      <alignment horizontal="center" vertical="center"/>
    </xf>
    <xf numFmtId="0" fontId="0" fillId="9" borderId="0" pivotButton="0" quotePrefix="0" xfId="0"/>
    <xf numFmtId="0" fontId="18" fillId="9" borderId="0" pivotButton="0" quotePrefix="0" xfId="0"/>
    <xf numFmtId="166" fontId="18" fillId="9" borderId="0" pivotButton="0" quotePrefix="0" xfId="0"/>
    <xf numFmtId="0" fontId="21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22" fillId="0" borderId="0" pivotButton="0" quotePrefix="0" xfId="0"/>
    <xf numFmtId="164" fontId="0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10" borderId="0" pivotButton="0" quotePrefix="0" xfId="0"/>
    <xf numFmtId="0" fontId="30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1" fillId="0" borderId="0" pivotButton="0" quotePrefix="0" xfId="0"/>
    <xf numFmtId="0" fontId="18" fillId="9" borderId="0" applyAlignment="1" pivotButton="0" quotePrefix="0" xfId="0">
      <alignment horizontal="center"/>
    </xf>
    <xf numFmtId="0" fontId="22" fillId="0" borderId="0" pivotButton="0" quotePrefix="0" xfId="0"/>
    <xf numFmtId="1" fontId="33" fillId="0" borderId="0" pivotButton="0" quotePrefix="0" xfId="0"/>
    <xf numFmtId="14" fontId="32" fillId="0" borderId="2" applyAlignment="1" pivotButton="0" quotePrefix="0" xfId="0">
      <alignment horizontal="center"/>
    </xf>
    <xf numFmtId="1" fontId="32" fillId="0" borderId="2" applyAlignment="1" pivotButton="0" quotePrefix="0" xfId="0">
      <alignment horizontal="center"/>
    </xf>
    <xf numFmtId="164" fontId="32" fillId="0" borderId="2" applyAlignment="1" pivotButton="0" quotePrefix="0" xfId="0">
      <alignment horizontal="center"/>
    </xf>
    <xf numFmtId="1" fontId="33" fillId="0" borderId="2" pivotButton="0" quotePrefix="0" xfId="0"/>
    <xf numFmtId="164" fontId="33" fillId="0" borderId="2" pivotButton="0" quotePrefix="0" xfId="0"/>
    <xf numFmtId="0" fontId="30" fillId="0" borderId="2" pivotButton="0" quotePrefix="0" xfId="0"/>
    <xf numFmtId="0" fontId="0" fillId="0" borderId="2" pivotButton="0" quotePrefix="0" xfId="0"/>
    <xf numFmtId="0" fontId="22" fillId="0" borderId="2" pivotButton="0" quotePrefix="0" xfId="0"/>
    <xf numFmtId="1" fontId="34" fillId="0" borderId="2" pivotButton="0" quotePrefix="0" xfId="0"/>
    <xf numFmtId="164" fontId="34" fillId="0" borderId="2" pivotButton="0" quotePrefix="0" xfId="0"/>
    <xf numFmtId="164" fontId="33" fillId="0" borderId="3" pivotButton="0" quotePrefix="0" xfId="0"/>
    <xf numFmtId="164" fontId="34" fillId="0" borderId="3" pivotButton="0" quotePrefix="0" xfId="0"/>
    <xf numFmtId="0" fontId="0" fillId="0" borderId="0" pivotButton="0" quotePrefix="0" xfId="0"/>
    <xf numFmtId="0" fontId="30" fillId="0" borderId="3" pivotButton="0" quotePrefix="0" xfId="0"/>
    <xf numFmtId="0" fontId="32" fillId="0" borderId="2" applyAlignment="1" pivotButton="0" quotePrefix="0" xfId="0">
      <alignment horizontal="center"/>
    </xf>
    <xf numFmtId="1" fontId="32" fillId="0" borderId="5" applyAlignment="1" pivotButton="0" quotePrefix="0" xfId="0">
      <alignment horizontal="center"/>
    </xf>
    <xf numFmtId="164" fontId="32" fillId="0" borderId="5" applyAlignment="1" pivotButton="0" quotePrefix="0" xfId="0">
      <alignment horizontal="center"/>
    </xf>
    <xf numFmtId="0" fontId="35" fillId="0" borderId="2" applyAlignment="1" pivotButton="0" quotePrefix="0" xfId="0">
      <alignment horizontal="left" vertical="center" wrapText="1" indent="1"/>
    </xf>
    <xf numFmtId="0" fontId="30" fillId="0" borderId="6" pivotButton="0" quotePrefix="0" xfId="0"/>
    <xf numFmtId="15" fontId="36" fillId="0" borderId="4" applyAlignment="1" pivotButton="0" quotePrefix="0" xfId="0">
      <alignment horizontal="left" vertical="center" wrapText="1" indent="1"/>
    </xf>
    <xf numFmtId="166" fontId="12" fillId="12" borderId="7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16" borderId="2" pivotButton="0" quotePrefix="0" xfId="0"/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0" fillId="0" borderId="10" pivotButton="0" quotePrefix="0" xfId="0"/>
    <xf numFmtId="0" fontId="11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28" fillId="0" borderId="0" pivotButton="0" quotePrefix="0" xfId="0"/>
    <xf numFmtId="17" fontId="12" fillId="12" borderId="2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17" fontId="37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20" fillId="11" borderId="0" applyAlignment="1" pivotButton="0" quotePrefix="0" xfId="0">
      <alignment horizontal="center"/>
    </xf>
    <xf numFmtId="0" fontId="19" fillId="10" borderId="0" applyAlignment="1" pivotButton="0" quotePrefix="0" xfId="0">
      <alignment horizontal="center"/>
    </xf>
    <xf numFmtId="0" fontId="16" fillId="9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11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3" borderId="7" applyAlignment="1" pivotButton="0" quotePrefix="0" xfId="0">
      <alignment horizontal="center" vertical="center"/>
    </xf>
    <xf numFmtId="0" fontId="11" fillId="13" borderId="9" applyAlignment="1" pivotButton="0" quotePrefix="0" xfId="0">
      <alignment horizontal="center" vertical="center"/>
    </xf>
    <xf numFmtId="0" fontId="27" fillId="0" borderId="0" pivotButton="0" quotePrefix="0" xfId="0"/>
    <xf numFmtId="0" fontId="3" fillId="0" borderId="0" pivotButton="0" quotePrefix="0" xfId="0"/>
    <xf numFmtId="0" fontId="31" fillId="9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center" vertical="center" wrapText="1"/>
    </xf>
    <xf numFmtId="0" fontId="38" fillId="0" borderId="0" pivotButton="0" quotePrefix="0" xfId="0"/>
    <xf numFmtId="164" fontId="30" fillId="0" borderId="2" pivotButton="0" quotePrefix="0" xfId="0"/>
    <xf numFmtId="0" fontId="0" fillId="0" borderId="13" pivotButton="0" quotePrefix="0" xfId="0"/>
    <xf numFmtId="0" fontId="0" fillId="0" borderId="9" pivotButton="0" quotePrefix="0" xfId="0"/>
    <xf numFmtId="0" fontId="11" fillId="1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2"/>
      <rgbColor rgb="FFBFBFBF"/>
      <rgbColor rgb="FF878787"/>
      <rgbColor rgb="FF9999FF"/>
      <rgbColor rgb="FF8B3A3A"/>
      <rgbColor rgb="FFFFF2CC"/>
      <rgbColor rgb="FFDCE6F1"/>
      <rgbColor rgb="FF5B2C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E7B45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EAE1F5"/>
      <rgbColor rgb="FF4F81BD"/>
      <rgbColor rgb="FF33CCCC"/>
      <rgbColor rgb="FF99CC00"/>
      <rgbColor rgb="FFFFCC00"/>
      <rgbColor rgb="FFFF9900"/>
      <rgbColor rgb="FFFF6600"/>
      <rgbColor rgb="FF666666"/>
      <rgbColor rgb="FFB3B3B3"/>
      <rgbColor rgb="FF1F3864"/>
      <rgbColor rgb="FF339966"/>
      <rgbColor rgb="FF003300"/>
      <rgbColor rgb="FF44546A"/>
      <rgbColor rgb="FFA0522D"/>
      <rgbColor rgb="FF595959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9</col>
      <colOff>752475</colOff>
      <row>0</row>
      <rowOff>0</rowOff>
    </from>
    <to>
      <col>11</col>
      <colOff>733425</colOff>
      <row>4</row>
      <rowOff>152400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72525" y="0"/>
          <a:ext cx="1581150" cy="1085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0" zoomScaleNormal="100" workbookViewId="0">
      <selection activeCell="B11" sqref="B11:E11"/>
    </sheetView>
  </sheetViews>
  <sheetFormatPr baseColWidth="8" defaultColWidth="8.7109375" defaultRowHeight="15"/>
  <cols>
    <col width="3" customWidth="1" style="43" min="1" max="1"/>
    <col width="22.28515625" customWidth="1" style="43" min="2" max="2"/>
    <col width="12" customWidth="1" style="43" min="3" max="3"/>
    <col width="16.85546875" customWidth="1" style="43" min="4" max="4"/>
    <col width="18.140625" customWidth="1" style="43" min="5" max="5"/>
    <col width="12" customWidth="1" style="43" min="6" max="12"/>
    <col width="8" customWidth="1" style="43" min="14" max="15"/>
  </cols>
  <sheetData>
    <row r="1"/>
    <row r="2" ht="26.25" customHeight="1" s="43">
      <c r="B2" s="82" t="inlineStr">
        <is>
          <t>SAMPLE FEEDS &amp; CO.</t>
        </is>
      </c>
    </row>
    <row r="3" ht="17.25" customHeight="1" s="43">
      <c r="B3" s="83" t="inlineStr">
        <is>
          <t>MANAGING DIRECTOR DASHBOARD — MONTHLY PERFORMANCE SUMMARY</t>
        </is>
      </c>
    </row>
    <row r="4" ht="15" customHeight="1" s="43">
      <c r="B4" s="84">
        <f>'Data Entry Sheet'!$F$5</f>
        <v/>
      </c>
    </row>
    <row r="5"/>
    <row r="6" ht="15.75" customHeight="1" s="43">
      <c r="B6" s="75" t="inlineStr">
        <is>
          <t>COMPANY-WIDE SUMMARY (UNIT 1 + UNIT 2)</t>
        </is>
      </c>
    </row>
    <row r="7"/>
    <row r="8" ht="15" customHeight="1" s="43">
      <c r="B8" s="71" t="inlineStr">
        <is>
          <t>TOTAL ACTUAL PRODUCTION (MT)</t>
        </is>
      </c>
      <c r="D8" s="71" t="inlineStr">
        <is>
          <t>TOTAL HOLIDAY HRS</t>
        </is>
      </c>
      <c r="E8" s="71" t="inlineStr">
        <is>
          <t>TOTAL TARGET (MT)</t>
        </is>
      </c>
      <c r="G8" s="76" t="inlineStr">
        <is>
          <t>ACHIEVEMENT %</t>
        </is>
      </c>
      <c r="I8" s="71" t="inlineStr">
        <is>
          <t>TOTAL SALES (₹)</t>
        </is>
      </c>
      <c r="K8" s="71" t="inlineStr">
        <is>
          <t>TOTAL DOWNTIME (Hrs)</t>
        </is>
      </c>
    </row>
    <row r="9" ht="18.75" customHeight="1" s="43">
      <c r="B9" s="73">
        <f>C38+E58</f>
        <v/>
      </c>
      <c r="D9" s="69">
        <f>'Data Entry Sheet'!F6</f>
        <v/>
      </c>
      <c r="E9" s="73">
        <f>'Data Entry Sheet'!$F$9+'Data Entry Sheet'!$F$10</f>
        <v/>
      </c>
      <c r="G9" s="77">
        <f>IFERROR(B9/E9,0)</f>
        <v/>
      </c>
      <c r="I9" s="73">
        <f>SUM('Data Entry Sheet'!$S$19:$S$49)</f>
        <v/>
      </c>
      <c r="K9" s="73">
        <f>'Data Entry Sheet'!I52</f>
        <v/>
      </c>
    </row>
    <row r="10"/>
    <row r="11" ht="15" customHeight="1" s="43">
      <c r="B11" s="72" t="inlineStr">
        <is>
          <t>COMPANY OEE / AVAILABILITY %</t>
        </is>
      </c>
    </row>
    <row r="12" ht="18.75" customHeight="1" s="43">
      <c r="B12" s="74">
        <f>IFERROR((((COUNT('Data Entry Sheet'!$A$19:$A$49)*'Data Entry Sheet'!$F$7)+(COUNT('Data Entry Sheet'!$A$19:$A$49)*'Data Entry Sheet'!$F$8))-K9)/((COUNT('Data Entry Sheet'!$A$19:$A$49)*'Data Entry Sheet'!$F$7)+(COUNT('Data Entry Sheet'!$A$19:$A$49)*'Data Entry Sheet'!$F$8)),0)</f>
        <v/>
      </c>
    </row>
    <row r="13"/>
    <row r="14" ht="15.75" customHeight="1" s="43">
      <c r="B14" s="75" t="inlineStr">
        <is>
          <t>STOCK, EXPENSES &amp; PURCHASE ORDERS</t>
        </is>
      </c>
    </row>
    <row r="15"/>
    <row r="16" ht="15" customHeight="1" s="43">
      <c r="B16" s="81" t="inlineStr">
        <is>
          <t>FG STOCK POULTRY (MT)</t>
        </is>
      </c>
      <c r="D16" s="81" t="inlineStr">
        <is>
          <t>FG STOCK CATTLE (MT)</t>
        </is>
      </c>
      <c r="E16" s="81" t="inlineStr">
        <is>
          <t>RM STOCK (MT)</t>
        </is>
      </c>
      <c r="G16" s="81" t="inlineStr">
        <is>
          <t>OFFICE EXPENSES (₹)</t>
        </is>
      </c>
      <c r="I16" s="81" t="inlineStr">
        <is>
          <t>PO's - MECHANICAL</t>
        </is>
      </c>
      <c r="K16" s="81" t="inlineStr">
        <is>
          <t>PO's - SPARES</t>
        </is>
      </c>
    </row>
    <row r="17" ht="18.75" customHeight="1" s="43">
      <c r="B17" s="73">
        <f>'Data Entry Sheet'!$F$11</f>
        <v/>
      </c>
      <c r="D17" s="73">
        <f>'Data Entry Sheet'!F12</f>
        <v/>
      </c>
      <c r="E17" s="73">
        <f>'Data Entry Sheet'!F13</f>
        <v/>
      </c>
      <c r="G17" s="79">
        <f>SUM('Data Entry Sheet'!$T$19:$T$49)</f>
        <v/>
      </c>
      <c r="I17" s="79">
        <f>SUM('Data Entry Sheet'!$U$19:$U$49)</f>
        <v/>
      </c>
      <c r="K17" s="79">
        <f>SUM('Data Entry Sheet'!$V$19:$V$49)</f>
        <v/>
      </c>
    </row>
    <row r="18"/>
    <row r="19" ht="15" customHeight="1" s="43">
      <c r="B19" s="76" t="inlineStr">
        <is>
          <t>TOTAL PO's RAISED</t>
        </is>
      </c>
      <c r="D19" s="76" t="n"/>
    </row>
    <row r="20" ht="18.75" customHeight="1" s="43">
      <c r="B20" s="80">
        <f>I17+K17</f>
        <v/>
      </c>
      <c r="D20" s="80" t="n"/>
    </row>
    <row r="21"/>
    <row r="22" ht="15.75" customHeight="1" s="43">
      <c r="B22" s="75" t="inlineStr">
        <is>
          <t>POWER CONSUMPTION BREAKDOWN</t>
        </is>
      </c>
    </row>
    <row r="23"/>
    <row r="24" ht="15" customHeight="1" s="43">
      <c r="B24" s="71" t="inlineStr">
        <is>
          <t>SOLAR UNITS (kWh)</t>
        </is>
      </c>
      <c r="E24" s="71" t="inlineStr">
        <is>
          <t>EB UNITS (kWh)</t>
        </is>
      </c>
      <c r="G24" s="71" t="inlineStr">
        <is>
          <t>GRID UNITS (kWh)</t>
        </is>
      </c>
      <c r="I24" s="71" t="inlineStr">
        <is>
          <t>TOTAL POWER (kWh)</t>
        </is>
      </c>
      <c r="N24" s="2" t="inlineStr">
        <is>
          <t>Source</t>
        </is>
      </c>
      <c r="O24" s="2" t="inlineStr">
        <is>
          <t>kWh</t>
        </is>
      </c>
    </row>
    <row r="25" ht="18.75" customHeight="1" s="43">
      <c r="B25" s="79">
        <f>SUM('Data Entry Sheet'!$W$19:$W$49)</f>
        <v/>
      </c>
      <c r="E25" s="79">
        <f>SUM('Data Entry Sheet'!$X$19:$X$49)</f>
        <v/>
      </c>
      <c r="G25" s="79">
        <f>SUM('Data Entry Sheet'!$Y$19:$Y$49)</f>
        <v/>
      </c>
      <c r="I25" s="79">
        <f>B25+E25+G25</f>
        <v/>
      </c>
      <c r="N25" t="inlineStr">
        <is>
          <t>Solar</t>
        </is>
      </c>
      <c r="O25" s="3">
        <f>B25</f>
        <v/>
      </c>
    </row>
    <row r="26" ht="15" customHeight="1" s="43">
      <c r="N26" t="inlineStr">
        <is>
          <t>EB</t>
        </is>
      </c>
      <c r="O26" s="3">
        <f>E25</f>
        <v/>
      </c>
    </row>
    <row r="27" ht="15" customHeight="1" s="43">
      <c r="N27" t="inlineStr">
        <is>
          <t>Grid</t>
        </is>
      </c>
      <c r="O27" s="3">
        <f>G25</f>
        <v/>
      </c>
    </row>
    <row r="28"/>
    <row r="29"/>
    <row r="30" ht="15.75" customHeight="1" s="43">
      <c r="B30" s="75" t="inlineStr">
        <is>
          <t>UNIT 1 — BRAND A POULTRY &amp; CATTLE (OWN PRODUCTION + 3RD PARTY JOB WORK)</t>
        </is>
      </c>
    </row>
    <row r="31"/>
    <row r="32" ht="15" customHeight="1" s="43">
      <c r="B32" s="4" t="inlineStr">
        <is>
          <t>Production Line</t>
        </is>
      </c>
      <c r="C32" s="4" t="inlineStr">
        <is>
          <t>Actual (MT)</t>
        </is>
      </c>
      <c r="D32" s="4" t="n"/>
      <c r="E32" s="4" t="inlineStr">
        <is>
          <t>Share of Unit 1 %</t>
        </is>
      </c>
    </row>
    <row r="33" ht="15" customHeight="1" s="43">
      <c r="B33" s="5" t="inlineStr">
        <is>
          <t>Brand A - Poultry</t>
        </is>
      </c>
      <c r="C33" s="6">
        <f>'Data Entry Sheet'!B50</f>
        <v/>
      </c>
      <c r="D33" s="6" t="n"/>
      <c r="E33" s="7">
        <f>IFERROR(C33/$C$38,0)</f>
        <v/>
      </c>
    </row>
    <row r="34" ht="15" customHeight="1" s="43">
      <c r="B34" s="5" t="inlineStr">
        <is>
          <t>Brand A - Cattle</t>
        </is>
      </c>
      <c r="C34" s="6">
        <f>'Data Entry Sheet'!C50</f>
        <v/>
      </c>
      <c r="D34" s="6" t="n"/>
      <c r="E34" s="7">
        <f>IFERROR(C34/$C$38,0)</f>
        <v/>
      </c>
    </row>
    <row r="35" ht="15" customHeight="1" s="43">
      <c r="B35" s="5" t="inlineStr">
        <is>
          <t>Brand B</t>
        </is>
      </c>
      <c r="C35" s="6">
        <f>('Data Entry Sheet'!D50+'Data Entry Sheet'!E50)</f>
        <v/>
      </c>
      <c r="D35" s="6" t="n"/>
      <c r="E35" s="7">
        <f>IFERROR(C35/$C$38,0)</f>
        <v/>
      </c>
    </row>
    <row r="36" ht="15" customHeight="1" s="43">
      <c r="B36" s="5" t="inlineStr">
        <is>
          <t>Brand C</t>
        </is>
      </c>
      <c r="C36" s="6">
        <f>'Data Entry Sheet'!F50</f>
        <v/>
      </c>
      <c r="D36" s="6" t="n"/>
      <c r="E36" s="7">
        <f>IFERROR(C36/$C$38,0)</f>
        <v/>
      </c>
    </row>
    <row r="37" ht="15" customHeight="1" s="43">
      <c r="B37" s="5" t="inlineStr">
        <is>
          <t>Others</t>
        </is>
      </c>
      <c r="C37" s="6">
        <f>'Data Entry Sheet'!G50</f>
        <v/>
      </c>
      <c r="D37" s="6" t="n"/>
      <c r="E37" s="7">
        <f>IFERROR(C37/$C$38,0)</f>
        <v/>
      </c>
    </row>
    <row r="38" ht="15" customHeight="1" s="43">
      <c r="B38" s="8" t="inlineStr">
        <is>
          <t>UNIT 1 TOTAL</t>
        </is>
      </c>
      <c r="C38" s="9">
        <f>SUM(C33:C37)</f>
        <v/>
      </c>
      <c r="D38" s="9" t="n"/>
      <c r="E38" s="10">
        <f>IFERROR(C38/C38,0)</f>
        <v/>
      </c>
    </row>
    <row r="39"/>
    <row r="40" ht="15" customHeight="1" s="43">
      <c r="B40" s="71" t="inlineStr">
        <is>
          <t>UNIT 1 TARGET (MT)</t>
        </is>
      </c>
      <c r="D40" s="71" t="n"/>
      <c r="E40" s="71" t="inlineStr">
        <is>
          <t>UNIT 1 ACTUAL (MT)</t>
        </is>
      </c>
      <c r="G40" s="76" t="inlineStr">
        <is>
          <t>UNIT 1 ACHIEVEMENT %</t>
        </is>
      </c>
    </row>
    <row r="41" ht="18.75" customHeight="1" s="43">
      <c r="B41" s="73">
        <f>'Data Entry Sheet'!$F$9</f>
        <v/>
      </c>
      <c r="D41" s="73" t="n"/>
      <c r="E41" s="73">
        <f>C38</f>
        <v/>
      </c>
      <c r="G41" s="77">
        <f>IFERROR(E41/B41,0)</f>
        <v/>
      </c>
    </row>
    <row r="42"/>
    <row r="43" ht="15" customHeight="1" s="43">
      <c r="B43" s="78" t="inlineStr">
        <is>
          <t>UNIT 1 DOWNTIME BY REASON</t>
        </is>
      </c>
    </row>
    <row r="44" ht="15" customHeight="1" s="43">
      <c r="B44" s="4" t="inlineStr">
        <is>
          <t>Reason</t>
        </is>
      </c>
      <c r="C44" s="4" t="inlineStr">
        <is>
          <t>Hours</t>
        </is>
      </c>
      <c r="D44" s="62" t="n"/>
    </row>
    <row r="45" ht="15" customHeight="1" s="43">
      <c r="B45" s="5" t="inlineStr">
        <is>
          <t>Product Change</t>
        </is>
      </c>
      <c r="C45" s="6">
        <f>SUM('Data Entry Sheet'!$H$19:$H$49)/60</f>
        <v/>
      </c>
      <c r="D45" s="6" t="n"/>
    </row>
    <row r="46" ht="15" customHeight="1" s="43">
      <c r="B46" s="5" t="inlineStr">
        <is>
          <t>Die Change</t>
        </is>
      </c>
      <c r="C46" s="6">
        <f>SUM('Data Entry Sheet'!$I$19:$I$49)/60</f>
        <v/>
      </c>
      <c r="D46" s="6" t="n"/>
    </row>
    <row r="47" ht="15" customHeight="1" s="43">
      <c r="B47" s="5" t="inlineStr">
        <is>
          <t>Breakdown</t>
        </is>
      </c>
      <c r="C47" s="6">
        <f>SUM('Data Entry Sheet'!$K$19:$K$49)/60</f>
        <v/>
      </c>
      <c r="D47" s="6" t="n"/>
    </row>
    <row r="48" ht="15" customHeight="1" s="43">
      <c r="B48" s="5" t="inlineStr">
        <is>
          <t>Others</t>
        </is>
      </c>
      <c r="C48" s="6">
        <f>SUM('Data Entry Sheet'!$L$19:$L$49)/60</f>
        <v/>
      </c>
      <c r="D48" s="6" t="n"/>
    </row>
    <row r="49" ht="15" customHeight="1" s="43">
      <c r="B49" s="8" t="inlineStr">
        <is>
          <t>TOTAL</t>
        </is>
      </c>
      <c r="C49" s="9">
        <f>SUM(C45:C48)</f>
        <v/>
      </c>
      <c r="D49" s="9" t="n"/>
    </row>
    <row r="50"/>
    <row r="51" ht="15" customHeight="1" s="43">
      <c r="B51" s="71" t="inlineStr">
        <is>
          <t>UNIT 1 DOWNTIME (Hrs)</t>
        </is>
      </c>
      <c r="D51" s="71" t="n"/>
      <c r="E51" s="72" t="inlineStr">
        <is>
          <t>UNIT 1 OEE / AVAILABILITY %</t>
        </is>
      </c>
    </row>
    <row r="52" ht="18.75" customHeight="1" s="43">
      <c r="B52" s="73">
        <f>K9</f>
        <v/>
      </c>
      <c r="D52" s="73" t="n"/>
      <c r="E52" s="74">
        <f>IFERROR(((COUNT('Data Entry Sheet'!$A$19:$A$49)*'Data Entry Sheet'!$F$7)-C49)/(COUNT('Data Entry Sheet'!$A$19:$A$49)*'Data Entry Sheet'!$F$7),0)</f>
        <v/>
      </c>
    </row>
    <row r="53"/>
    <row r="54"/>
    <row r="55" ht="15.75" customHeight="1" s="43">
      <c r="B55" s="75" t="inlineStr">
        <is>
          <t>UNIT 2</t>
        </is>
      </c>
    </row>
    <row r="56"/>
    <row r="57" ht="15" customHeight="1" s="43">
      <c r="B57" s="71" t="inlineStr">
        <is>
          <t>TARGET (MT)</t>
        </is>
      </c>
      <c r="D57" s="71" t="n"/>
      <c r="E57" s="71" t="inlineStr">
        <is>
          <t>ACTUAL (MT)</t>
        </is>
      </c>
      <c r="G57" s="76" t="inlineStr">
        <is>
          <t>ACHIEVEMENT %</t>
        </is>
      </c>
    </row>
    <row r="58" ht="18.75" customHeight="1" s="43">
      <c r="B58" s="73">
        <f>'Data Entry Sheet'!$F$10</f>
        <v/>
      </c>
      <c r="D58" s="73" t="n"/>
      <c r="E58" s="73">
        <f>SUM('Data Entry Sheet'!$N$19:$N$49)</f>
        <v/>
      </c>
      <c r="G58" s="77">
        <f>IFERROR(E58/B58,0)</f>
        <v/>
      </c>
    </row>
    <row r="59"/>
    <row r="60" ht="15" customHeight="1" s="43">
      <c r="B60" s="70" t="inlineStr">
        <is>
          <t>UNIT 2 DOWNTIME BY REASON</t>
        </is>
      </c>
    </row>
    <row r="61" ht="15" customHeight="1" s="43">
      <c r="B61" s="4" t="inlineStr">
        <is>
          <t>Reason</t>
        </is>
      </c>
      <c r="C61" s="4" t="inlineStr">
        <is>
          <t>Hours</t>
        </is>
      </c>
      <c r="D61" s="62" t="n"/>
    </row>
    <row r="62" ht="15" customHeight="1" s="43">
      <c r="B62" s="5" t="inlineStr">
        <is>
          <t>Product Change</t>
        </is>
      </c>
      <c r="C62" s="6">
        <f>SUM('Data Entry Sheet'!$O$19:$O$49)/60</f>
        <v/>
      </c>
      <c r="D62" s="6" t="n"/>
    </row>
    <row r="63" ht="15" customHeight="1" s="43">
      <c r="B63" s="5" t="inlineStr">
        <is>
          <t>Die Change</t>
        </is>
      </c>
      <c r="C63" s="6">
        <f>SUM('Data Entry Sheet'!$P$19:$P$49)/60</f>
        <v/>
      </c>
      <c r="D63" s="6" t="n"/>
    </row>
    <row r="64" ht="15" customHeight="1" s="43">
      <c r="B64" s="5" t="inlineStr">
        <is>
          <t>Breakdown</t>
        </is>
      </c>
      <c r="C64" s="6">
        <f>SUM('Data Entry Sheet'!$Q$19:$Q$49)/60</f>
        <v/>
      </c>
      <c r="D64" s="6" t="n"/>
    </row>
    <row r="65" ht="15" customHeight="1" s="43">
      <c r="B65" s="5" t="inlineStr">
        <is>
          <t>Others</t>
        </is>
      </c>
      <c r="C65" s="6">
        <f>SUM('Data Entry Sheet'!$R$19:$R$49)/60</f>
        <v/>
      </c>
      <c r="D65" s="6" t="n"/>
    </row>
    <row r="66" ht="15" customHeight="1" s="43">
      <c r="B66" s="8" t="inlineStr">
        <is>
          <t>TOTAL</t>
        </is>
      </c>
      <c r="C66" s="9">
        <f>SUM(C62:C65)</f>
        <v/>
      </c>
      <c r="D66" s="9" t="n"/>
    </row>
    <row r="67"/>
    <row r="68" ht="15" customHeight="1" s="43">
      <c r="B68" s="71" t="inlineStr">
        <is>
          <t>DOWNTIME (Hrs)</t>
        </is>
      </c>
      <c r="D68" s="71" t="n"/>
      <c r="E68" s="72" t="inlineStr">
        <is>
          <t>OEE / AVAILABILITY %</t>
        </is>
      </c>
    </row>
    <row r="69" ht="18.75" customHeight="1" s="43">
      <c r="B69" s="73">
        <f>C66</f>
        <v/>
      </c>
      <c r="D69" s="73" t="n"/>
      <c r="E69" s="74">
        <f>IFERROR(((COUNT('Data Entry Sheet'!$A$19:$A$49)*'Data Entry Sheet'!$F$8)-C66)/(COUNT('Data Entry Sheet'!$A$19:$A$49)*'Data Entry Sheet'!$F$8),0)</f>
        <v/>
      </c>
    </row>
  </sheetData>
  <mergeCells count="62">
    <mergeCell ref="K16:L16"/>
    <mergeCell ref="B2:M2"/>
    <mergeCell ref="B16:C16"/>
    <mergeCell ref="E24:F24"/>
    <mergeCell ref="E68:F68"/>
    <mergeCell ref="K9:L9"/>
    <mergeCell ref="E52:F52"/>
    <mergeCell ref="B22:L22"/>
    <mergeCell ref="G8:H8"/>
    <mergeCell ref="E17:F17"/>
    <mergeCell ref="G40:H40"/>
    <mergeCell ref="G17:H17"/>
    <mergeCell ref="E8:F8"/>
    <mergeCell ref="B58:C58"/>
    <mergeCell ref="B52:C52"/>
    <mergeCell ref="E51:F51"/>
    <mergeCell ref="I16:J16"/>
    <mergeCell ref="I25:J25"/>
    <mergeCell ref="G57:H57"/>
    <mergeCell ref="E69:F69"/>
    <mergeCell ref="B17:C17"/>
    <mergeCell ref="B14:L14"/>
    <mergeCell ref="E40:F40"/>
    <mergeCell ref="B8:C8"/>
    <mergeCell ref="E9:F9"/>
    <mergeCell ref="B24:D24"/>
    <mergeCell ref="B57:C57"/>
    <mergeCell ref="B69:C69"/>
    <mergeCell ref="G24:H24"/>
    <mergeCell ref="K8:L8"/>
    <mergeCell ref="B12:E12"/>
    <mergeCell ref="B19:C19"/>
    <mergeCell ref="I24:J24"/>
    <mergeCell ref="B43:E43"/>
    <mergeCell ref="G58:H58"/>
    <mergeCell ref="B11:E11"/>
    <mergeCell ref="I8:J8"/>
    <mergeCell ref="B9:C9"/>
    <mergeCell ref="B40:C40"/>
    <mergeCell ref="B4:M4"/>
    <mergeCell ref="I17:J17"/>
    <mergeCell ref="B25:D25"/>
    <mergeCell ref="K17:L17"/>
    <mergeCell ref="B60:E60"/>
    <mergeCell ref="E57:F57"/>
    <mergeCell ref="B68:C68"/>
    <mergeCell ref="E16:F16"/>
    <mergeCell ref="B6:L6"/>
    <mergeCell ref="B3:M3"/>
    <mergeCell ref="G16:H16"/>
    <mergeCell ref="E25:F25"/>
    <mergeCell ref="B30:L30"/>
    <mergeCell ref="B20:C20"/>
    <mergeCell ref="G25:H25"/>
    <mergeCell ref="E41:F41"/>
    <mergeCell ref="G41:H41"/>
    <mergeCell ref="B51:C51"/>
    <mergeCell ref="B55:L55"/>
    <mergeCell ref="B41:C41"/>
    <mergeCell ref="G9:H9"/>
    <mergeCell ref="E58:F58"/>
    <mergeCell ref="I9:J9"/>
  </mergeCells>
  <pageMargins left="0.75" right="0.75" top="1" bottom="1" header="0.511811023622047" footer="0.511811023622047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topLeftCell="A31" zoomScale="85" zoomScaleNormal="85" workbookViewId="0">
      <selection activeCell="C10" sqref="C10:D10"/>
    </sheetView>
  </sheetViews>
  <sheetFormatPr baseColWidth="8" defaultColWidth="8.7109375" defaultRowHeight="15"/>
  <cols>
    <col width="26" customWidth="1" style="43" min="1" max="1"/>
    <col width="17" customWidth="1" style="43" min="2" max="2"/>
    <col width="29.140625" customWidth="1" style="43" min="3" max="3"/>
    <col width="17" customWidth="1" style="43" min="4" max="8"/>
  </cols>
  <sheetData>
    <row r="1" ht="25.5" customHeight="1" s="43">
      <c r="A1" s="88" t="inlineStr">
        <is>
          <t>Sample Feeds &amp; Co.  |  Inventory &amp; Transport Dashboard</t>
        </is>
      </c>
    </row>
    <row r="2" ht="18" customHeight="1" s="43">
      <c r="A2" s="89" t="inlineStr">
        <is>
          <t>Daily snapshot - vehicle movement, own fleet, FG dispatch, RM receipt, and critical alerts</t>
        </is>
      </c>
    </row>
    <row r="3" ht="19.5" customHeight="1" s="43">
      <c r="A3" s="11" t="n"/>
      <c r="B3" s="11" t="n"/>
      <c r="C3" s="11" t="n"/>
      <c r="D3" s="11" t="n"/>
      <c r="E3" s="11" t="n"/>
      <c r="F3" s="12" t="inlineStr">
        <is>
          <t>Report Date:</t>
        </is>
      </c>
      <c r="G3" s="13" t="n">
        <v>46037</v>
      </c>
    </row>
    <row r="4"/>
    <row r="5" ht="15" customHeight="1" s="43">
      <c r="A5" s="87" t="inlineStr">
        <is>
          <t>TOTAL VEHICLES INWARD</t>
        </is>
      </c>
      <c r="C5" s="87" t="inlineStr">
        <is>
          <t>TOTAL VEHICLES OUTWARD</t>
        </is>
      </c>
      <c r="E5" s="87" t="inlineStr">
        <is>
          <t>FG DISPATCHED (MT)</t>
        </is>
      </c>
      <c r="G5" s="87" t="inlineStr">
        <is>
          <t>RM RECEIVED (MT)</t>
        </is>
      </c>
    </row>
    <row r="6" ht="30" customHeight="1" s="43">
      <c r="A6" s="86">
        <f>SUM('RM Sheet'!J6:J67)</f>
        <v/>
      </c>
      <c r="C6" s="86">
        <f>SUM('FG Sheet'!L6:L67)</f>
        <v/>
      </c>
      <c r="E6" s="86">
        <f>SUM('FG Sheet'!M6:M67)</f>
        <v/>
      </c>
      <c r="G6" s="86">
        <f>SUM('RM Sheet'!K6:K67)</f>
        <v/>
      </c>
    </row>
    <row r="7"/>
    <row r="8"/>
    <row r="9" ht="15" customHeight="1" s="43">
      <c r="A9" s="87" t="inlineStr">
        <is>
          <t>OWN FLEET - IN TRANSIT</t>
        </is>
      </c>
      <c r="C9" s="87" t="inlineStr">
        <is>
          <t>OWN FLEET - IDLE</t>
        </is>
      </c>
      <c r="E9" s="87" t="inlineStr">
        <is>
          <t>RM MATERIALS IN SHORTAGE</t>
        </is>
      </c>
      <c r="G9" s="87" t="inlineStr">
        <is>
          <t>FG PRODUCTS STOCKED OUT</t>
        </is>
      </c>
    </row>
    <row r="10" ht="30" customHeight="1" s="43">
      <c r="A10" s="86">
        <f>COUNTIF('Transport Sheet'!$E$7:$E$9,"In-Transit")</f>
        <v/>
      </c>
      <c r="C10" s="86">
        <f>COUNTIF('Transport Sheet'!$E$7:$E$9,"Idle")</f>
        <v/>
      </c>
      <c r="E10" s="86">
        <f>COUNTIF($E$41:$E$49,"SHORTAGE")</f>
        <v/>
      </c>
      <c r="G10" s="86">
        <f>COUNTIF($D$53:$D$60,"STOCK OUT")</f>
        <v/>
      </c>
    </row>
    <row r="11"/>
    <row r="12"/>
    <row r="13"/>
    <row r="14" ht="15.75" customHeight="1" s="43">
      <c r="A14" s="27" t="inlineStr">
        <is>
          <t>Company-wise Breakdown</t>
        </is>
      </c>
    </row>
    <row r="15" ht="30" customHeight="1" s="43">
      <c r="A15" s="102" t="inlineStr">
        <is>
          <t>Company</t>
        </is>
      </c>
      <c r="B15" s="102" t="inlineStr">
        <is>
          <t>Vehicles Inward</t>
        </is>
      </c>
      <c r="C15" s="102" t="inlineStr">
        <is>
          <t>Vehicles Outward</t>
        </is>
      </c>
      <c r="D15" s="102" t="inlineStr">
        <is>
          <t>FG Dispatched (MT)</t>
        </is>
      </c>
      <c r="E15" s="102" t="inlineStr">
        <is>
          <t>RM Received (MT)</t>
        </is>
      </c>
    </row>
    <row r="16" ht="15" customHeight="1" s="43">
      <c r="A16" s="29" t="inlineStr">
        <is>
          <t>Brand A</t>
        </is>
      </c>
      <c r="B16">
        <f>SUM('RM Sheet'!B6:B67)</f>
        <v/>
      </c>
      <c r="C16">
        <f>SUM('FG Sheet'!D6:D67)</f>
        <v/>
      </c>
      <c r="D16" s="17">
        <f>SUM('FG Sheet'!E6:E67)</f>
        <v/>
      </c>
      <c r="E16" s="17">
        <f>SUM('RM Sheet'!C6:C67)</f>
        <v/>
      </c>
    </row>
    <row r="17" ht="15" customHeight="1" s="43">
      <c r="A17" s="29" t="inlineStr">
        <is>
          <t>Brand B</t>
        </is>
      </c>
      <c r="B17">
        <f>SUM('RM Sheet'!D6:D67)</f>
        <v/>
      </c>
      <c r="C17">
        <f>SUM('FG Sheet'!F6:F67)</f>
        <v/>
      </c>
      <c r="D17" s="17">
        <f>SUM('FG Sheet'!G6:G67)</f>
        <v/>
      </c>
      <c r="E17" s="17">
        <f>SUM('RM Sheet'!E6:E67)</f>
        <v/>
      </c>
    </row>
    <row r="18" ht="15" customHeight="1" s="43">
      <c r="A18" s="29" t="inlineStr">
        <is>
          <t>Brand C</t>
        </is>
      </c>
      <c r="B18">
        <f>SUM('RM Sheet'!F6:F67)</f>
        <v/>
      </c>
      <c r="C18">
        <f>SUM('FG Sheet'!H6:H67)</f>
        <v/>
      </c>
      <c r="D18" s="17">
        <f>SUM('FG Sheet'!I6:I67)</f>
        <v/>
      </c>
      <c r="E18" s="17">
        <f>SUM('RM Sheet'!G6:G67)</f>
        <v/>
      </c>
    </row>
    <row r="19" ht="15" customHeight="1" s="43">
      <c r="A19" s="29" t="inlineStr">
        <is>
          <t>Others</t>
        </is>
      </c>
      <c r="B19">
        <f>SUM('RM Sheet'!H6:H67)</f>
        <v/>
      </c>
      <c r="C19">
        <f>SUM('FG Sheet'!J6:J67)</f>
        <v/>
      </c>
      <c r="D19" s="17">
        <f>SUM('FG Sheet'!K6:K67)</f>
        <v/>
      </c>
      <c r="E19" s="17">
        <f>SUM('RM Sheet'!I6:I67)</f>
        <v/>
      </c>
    </row>
    <row r="20"/>
    <row r="21"/>
    <row r="22" ht="15.75" customHeight="1" s="43">
      <c r="A22" s="27" t="inlineStr">
        <is>
          <t>Own Vehicle Quick View</t>
        </is>
      </c>
    </row>
    <row r="23" ht="30" customHeight="1" s="43">
      <c r="A23" s="102" t="inlineStr">
        <is>
          <t>Vehicle No</t>
        </is>
      </c>
      <c r="B23" s="102" t="inlineStr">
        <is>
          <t>Trip Status</t>
        </is>
      </c>
      <c r="C23" s="102" t="inlineStr">
        <is>
          <t>Current Location</t>
        </is>
      </c>
      <c r="D23" s="102" t="inlineStr">
        <is>
          <t>Next Schedule</t>
        </is>
      </c>
    </row>
    <row r="24" ht="15" customHeight="1" s="43">
      <c r="A24">
        <f>'Transport Sheet'!A7</f>
        <v/>
      </c>
      <c r="B24">
        <f>'Transport Sheet'!E7</f>
        <v/>
      </c>
      <c r="C24">
        <f>'Transport Sheet'!D7</f>
        <v/>
      </c>
      <c r="D24">
        <f>'Transport Sheet'!F7</f>
        <v/>
      </c>
    </row>
    <row r="25" ht="15" customHeight="1" s="43">
      <c r="A25">
        <f>'Transport Sheet'!A8</f>
        <v/>
      </c>
      <c r="B25">
        <f>'Transport Sheet'!E8</f>
        <v/>
      </c>
      <c r="C25">
        <f>'Transport Sheet'!D8</f>
        <v/>
      </c>
      <c r="D25">
        <f>'Transport Sheet'!F8</f>
        <v/>
      </c>
    </row>
    <row r="26" ht="15" customHeight="1" s="43">
      <c r="A26">
        <f>'Transport Sheet'!A9</f>
        <v/>
      </c>
      <c r="B26">
        <f>'Transport Sheet'!E9</f>
        <v/>
      </c>
      <c r="C26">
        <f>'Transport Sheet'!D9</f>
        <v/>
      </c>
      <c r="D26">
        <f>'Transport Sheet'!F9</f>
        <v/>
      </c>
    </row>
    <row r="27"/>
    <row r="28"/>
    <row r="29" ht="15.75" customHeight="1" s="43">
      <c r="A29" s="18" t="inlineStr">
        <is>
          <t>Critical Alerts Quick View</t>
        </is>
      </c>
    </row>
    <row r="30" ht="30" customHeight="1" s="43">
      <c r="A30" s="102" t="inlineStr">
        <is>
          <t>Type</t>
        </is>
      </c>
      <c r="B30" s="102" t="inlineStr">
        <is>
          <t>Item</t>
        </is>
      </c>
      <c r="C30" s="102" t="inlineStr">
        <is>
          <t>Detail</t>
        </is>
      </c>
      <c r="D30" s="102" t="inlineStr">
        <is>
          <t>Status</t>
        </is>
      </c>
    </row>
    <row r="31" ht="15" customHeight="1" s="43">
      <c r="A31" t="inlineStr">
        <is>
          <t>RM Shortage</t>
        </is>
      </c>
      <c r="B31">
        <f>A41</f>
        <v/>
      </c>
      <c r="C31">
        <f>"Stock: "&amp;B41&amp;" MT | Need: "&amp;C41&amp;" MT"</f>
        <v/>
      </c>
      <c r="D31">
        <f>E41</f>
        <v/>
      </c>
    </row>
    <row r="32" ht="15" customHeight="1" s="43">
      <c r="A32" t="inlineStr">
        <is>
          <t>RM Shortage</t>
        </is>
      </c>
      <c r="B32">
        <f>A42</f>
        <v/>
      </c>
      <c r="C32">
        <f>"Stock: "&amp;B42&amp;" MT | Need: "&amp;C42&amp;" MT"</f>
        <v/>
      </c>
      <c r="D32">
        <f>E42</f>
        <v/>
      </c>
    </row>
    <row r="33" ht="15" customHeight="1" s="43">
      <c r="A33" t="inlineStr">
        <is>
          <t>RM Shortage</t>
        </is>
      </c>
      <c r="B33">
        <f>A43</f>
        <v/>
      </c>
      <c r="C33">
        <f>"Stock: "&amp;B43&amp;" MT | Need: "&amp;C43&amp;" MT"</f>
        <v/>
      </c>
      <c r="D33">
        <f>E43</f>
        <v/>
      </c>
    </row>
    <row r="34" ht="15" customHeight="1" s="43">
      <c r="A34" t="inlineStr">
        <is>
          <t>FG Stock</t>
        </is>
      </c>
      <c r="B34">
        <f>A53</f>
        <v/>
      </c>
      <c r="C34">
        <f>"Stock: "&amp;B53&amp;" MT | Orders: "&amp;C53&amp;" MT"</f>
        <v/>
      </c>
      <c r="D34">
        <f>D53</f>
        <v/>
      </c>
    </row>
    <row r="35" ht="15" customHeight="1" s="43">
      <c r="A35" t="inlineStr">
        <is>
          <t>FG Stock</t>
        </is>
      </c>
      <c r="B35">
        <f>A54</f>
        <v/>
      </c>
      <c r="C35">
        <f>"Stock: "&amp;B54&amp;" MT | Orders: "&amp;C54&amp;" MT"</f>
        <v/>
      </c>
      <c r="D35">
        <f>D54</f>
        <v/>
      </c>
    </row>
    <row r="36"/>
    <row r="37" ht="15" customHeight="1" s="43">
      <c r="A37" s="25" t="inlineStr">
        <is>
          <t>Legend:</t>
        </is>
      </c>
      <c r="B37" s="26" t="inlineStr">
        <is>
          <t>Blue text = cells to fill in daily</t>
        </is>
      </c>
    </row>
    <row r="38"/>
    <row r="39" ht="15.75" customHeight="1" s="43">
      <c r="A39" s="18" t="inlineStr">
        <is>
          <t>RM Shortage Tracker  —  fill in daily</t>
        </is>
      </c>
    </row>
    <row r="40" ht="30" customHeight="1" s="43">
      <c r="A40" s="102" t="inlineStr">
        <is>
          <t>Material Name</t>
        </is>
      </c>
      <c r="B40" s="102" t="inlineStr">
        <is>
          <t>Current Stock (MT)</t>
        </is>
      </c>
      <c r="C40" s="102" t="inlineStr">
        <is>
          <t>Min Required (MT)</t>
        </is>
      </c>
      <c r="D40" s="102" t="inlineStr">
        <is>
          <t>Shortage (MT)</t>
        </is>
      </c>
      <c r="E40" s="102" t="inlineStr">
        <is>
          <t>Status</t>
        </is>
      </c>
    </row>
    <row r="41" ht="15" customHeight="1" s="43">
      <c r="A41" s="21">
        <f>Shortage!A3</f>
        <v/>
      </c>
      <c r="B41" s="21">
        <f>Shortage!B3</f>
        <v/>
      </c>
      <c r="C41" s="21">
        <f>Shortage!C3</f>
        <v/>
      </c>
      <c r="D41">
        <f>MAX(C41-B41,0)</f>
        <v/>
      </c>
      <c r="E41">
        <f>IF(AND(B41&lt;&gt;"",C41&lt;&gt;""),IF(B41&lt;C41,"SHORTAGE","OK"),"")</f>
        <v/>
      </c>
    </row>
    <row r="42" ht="15" customHeight="1" s="43">
      <c r="A42" s="21">
        <f>Shortage!A4</f>
        <v/>
      </c>
      <c r="B42" s="21">
        <f>Shortage!B4</f>
        <v/>
      </c>
      <c r="C42" s="21">
        <f>Shortage!C4</f>
        <v/>
      </c>
      <c r="D42">
        <f>MAX(C42-B42,0)</f>
        <v/>
      </c>
      <c r="E42">
        <f>IF(AND(B42&lt;&gt;"",C42&lt;&gt;""),IF(B42&lt;C42,"SHORTAGE","OK"),"")</f>
        <v/>
      </c>
    </row>
    <row r="43" ht="15" customHeight="1" s="43">
      <c r="A43" s="21">
        <f>Shortage!A5</f>
        <v/>
      </c>
      <c r="B43" s="21">
        <f>Shortage!B5</f>
        <v/>
      </c>
      <c r="C43" s="21">
        <f>Shortage!C5</f>
        <v/>
      </c>
      <c r="D43">
        <f>MAX(C43-B43,0)</f>
        <v/>
      </c>
      <c r="E43">
        <f>IF(AND(B43&lt;&gt;"",C43&lt;&gt;""),IF(B43&lt;C43,"SHORTAGE","OK"),"")</f>
        <v/>
      </c>
    </row>
    <row r="44" ht="15" customHeight="1" s="43">
      <c r="A44" s="22">
        <f>Shortage!A6</f>
        <v/>
      </c>
      <c r="B44" s="21">
        <f>Shortage!B6</f>
        <v/>
      </c>
      <c r="C44" s="21">
        <f>Shortage!C6</f>
        <v/>
      </c>
      <c r="D44">
        <f>MAX(C44-B44,0)</f>
        <v/>
      </c>
      <c r="E44">
        <f>IF(AND(B44&lt;&gt;"",C44&lt;&gt;""),IF(B44&lt;C44,"SHORTAGE","OK"),"")</f>
        <v/>
      </c>
    </row>
    <row r="45" ht="15" customHeight="1" s="43">
      <c r="A45" s="22">
        <f>Shortage!A7</f>
        <v/>
      </c>
      <c r="B45" s="21">
        <f>Shortage!B7</f>
        <v/>
      </c>
      <c r="C45" s="21">
        <f>Shortage!C7</f>
        <v/>
      </c>
      <c r="D45">
        <f>MAX(C45-B45,0)</f>
        <v/>
      </c>
      <c r="E45">
        <f>IF(AND(B45&lt;&gt;"",C45&lt;&gt;""),IF(B45&lt;C45,"SHORTAGE","OK"),"")</f>
        <v/>
      </c>
    </row>
    <row r="46" ht="15" customHeight="1" s="43">
      <c r="A46" s="22">
        <f>Shortage!A8</f>
        <v/>
      </c>
      <c r="B46" s="21">
        <f>Shortage!B8</f>
        <v/>
      </c>
      <c r="C46" s="21">
        <f>Shortage!C8</f>
        <v/>
      </c>
      <c r="D46">
        <f>MAX(C46-B46,0)</f>
        <v/>
      </c>
      <c r="E46">
        <f>IF(AND(B46&lt;&gt;"",C46&lt;&gt;""),IF(B46&lt;C46,"SHORTAGE","OK"),"")</f>
        <v/>
      </c>
    </row>
    <row r="47" ht="15" customHeight="1" s="43">
      <c r="A47" s="22">
        <f>Shortage!A9</f>
        <v/>
      </c>
      <c r="B47" s="21">
        <f>Shortage!B9</f>
        <v/>
      </c>
      <c r="C47" s="21">
        <f>Shortage!C9</f>
        <v/>
      </c>
      <c r="D47">
        <f>MAX(C47-B47,0)</f>
        <v/>
      </c>
      <c r="E47">
        <f>IF(AND(B47&lt;&gt;"",C47&lt;&gt;""),IF(B47&lt;C47,"SHORTAGE","OK"),"")</f>
        <v/>
      </c>
    </row>
    <row r="48" ht="15" customHeight="1" s="43">
      <c r="A48" s="22">
        <f>Shortage!A10</f>
        <v/>
      </c>
      <c r="B48" s="21">
        <f>Shortage!B10</f>
        <v/>
      </c>
      <c r="C48" s="21">
        <f>Shortage!C10</f>
        <v/>
      </c>
      <c r="D48">
        <f>MAX(C48-B48,0)</f>
        <v/>
      </c>
      <c r="E48">
        <f>IF(AND(B48&lt;&gt;"",C48&lt;&gt;""),IF(B48&lt;C48,"SHORTAGE","OK"),"")</f>
        <v/>
      </c>
    </row>
    <row r="49" ht="15" customHeight="1" s="43">
      <c r="A49" s="22">
        <f>Shortage!A11</f>
        <v/>
      </c>
      <c r="B49" s="21">
        <f>Shortage!B11</f>
        <v/>
      </c>
      <c r="C49" s="21">
        <f>Shortage!C11</f>
        <v/>
      </c>
      <c r="D49">
        <f>MAX(C49-B49,0)</f>
        <v/>
      </c>
      <c r="E49">
        <f>IF(AND(B49&lt;&gt;"",C49&lt;&gt;""),IF(B49&lt;C49,"SHORTAGE","OK"),"")</f>
        <v/>
      </c>
    </row>
    <row r="50"/>
    <row r="51" ht="15.75" customHeight="1" s="43">
      <c r="A51" s="18" t="inlineStr">
        <is>
          <t>FG Stock-Out Tracker  —  fill in daily</t>
        </is>
      </c>
    </row>
    <row r="52" ht="30" customHeight="1" s="43">
      <c r="A52" s="102" t="inlineStr">
        <is>
          <t>Product</t>
        </is>
      </c>
      <c r="B52" s="102" t="inlineStr">
        <is>
          <t>Current Stock (MT)</t>
        </is>
      </c>
      <c r="C52" s="102" t="inlineStr">
        <is>
          <t>Active Orders (MT)</t>
        </is>
      </c>
      <c r="D52" s="102" t="inlineStr">
        <is>
          <t>Status</t>
        </is>
      </c>
    </row>
    <row r="53" ht="15" customHeight="1" s="43">
      <c r="A53" s="21">
        <f>Shortage!A15</f>
        <v/>
      </c>
      <c r="B53" s="21">
        <f>Shortage!B15</f>
        <v/>
      </c>
      <c r="C53" s="21">
        <f>Shortage!C15</f>
        <v/>
      </c>
      <c r="D53">
        <f>IF(B53&lt;&gt;"",IF(B53&lt;=0,"STOCK OUT","OK"),"")</f>
        <v/>
      </c>
    </row>
    <row r="54" ht="15" customHeight="1" s="43">
      <c r="A54" s="21">
        <f>Shortage!A16</f>
        <v/>
      </c>
      <c r="B54" s="21">
        <f>Shortage!B16</f>
        <v/>
      </c>
      <c r="C54" s="21">
        <f>Shortage!C16</f>
        <v/>
      </c>
      <c r="D54">
        <f>IF(B54&lt;&gt;"",IF(B54&lt;=0,"STOCK OUT","OK"),"")</f>
        <v/>
      </c>
    </row>
    <row r="55" ht="15" customHeight="1" s="43">
      <c r="A55" s="21">
        <f>Shortage!A17</f>
        <v/>
      </c>
      <c r="B55" s="21">
        <f>Shortage!B17</f>
        <v/>
      </c>
      <c r="C55" s="21">
        <f>Shortage!C17</f>
        <v/>
      </c>
      <c r="D55">
        <f>IF(B55&lt;&gt;"",IF(B55&lt;=0,"STOCK OUT","OK"),"")</f>
        <v/>
      </c>
    </row>
    <row r="56" ht="15" customHeight="1" s="43">
      <c r="A56" s="21">
        <f>Shortage!A18</f>
        <v/>
      </c>
      <c r="B56" s="21">
        <f>Shortage!B18</f>
        <v/>
      </c>
      <c r="C56" s="21">
        <f>Shortage!C18</f>
        <v/>
      </c>
      <c r="D56">
        <f>IF(B56&lt;&gt;"",IF(B56&lt;=0,"STOCK OUT","OK"),"")</f>
        <v/>
      </c>
    </row>
    <row r="57" ht="15" customHeight="1" s="43">
      <c r="A57" s="21">
        <f>Shortage!A19</f>
        <v/>
      </c>
      <c r="B57" s="21">
        <f>Shortage!B19</f>
        <v/>
      </c>
      <c r="C57" s="21">
        <f>Shortage!C19</f>
        <v/>
      </c>
      <c r="D57">
        <f>IF(B57&lt;&gt;"",IF(B57&lt;=0,"STOCK OUT","OK"),"")</f>
        <v/>
      </c>
    </row>
    <row r="58" ht="15" customHeight="1" s="43">
      <c r="A58" s="21">
        <f>Shortage!A20</f>
        <v/>
      </c>
      <c r="B58" s="21">
        <f>Shortage!B20</f>
        <v/>
      </c>
      <c r="C58" s="21">
        <f>Shortage!C20</f>
        <v/>
      </c>
      <c r="D58">
        <f>IF(B58&lt;&gt;"",IF(B58&lt;=0,"STOCK OUT","OK"),"")</f>
        <v/>
      </c>
    </row>
    <row r="59" ht="15" customHeight="1" s="43">
      <c r="A59" s="21">
        <f>Shortage!A21</f>
        <v/>
      </c>
      <c r="B59" s="21">
        <f>Shortage!B21</f>
        <v/>
      </c>
      <c r="C59" s="21">
        <f>Shortage!C21</f>
        <v/>
      </c>
      <c r="D59">
        <f>IF(B59&lt;&gt;"",IF(B59&lt;=0,"STOCK OUT","OK"),"")</f>
        <v/>
      </c>
    </row>
    <row r="60" ht="15" customHeight="1" s="43">
      <c r="A60" s="21">
        <f>Shortage!A22</f>
        <v/>
      </c>
      <c r="B60" s="21">
        <f>Shortage!B22</f>
        <v/>
      </c>
      <c r="C60" s="21">
        <f>Shortage!C22</f>
        <v/>
      </c>
      <c r="D60">
        <f>IF(B60&lt;&gt;"",IF(B60&lt;=0,"STOCK OUT","OK"),"")</f>
        <v/>
      </c>
    </row>
    <row r="61"/>
    <row r="62" ht="15" customHeight="1" s="43">
      <c r="A62" s="25" t="inlineStr">
        <is>
          <t>Legend:</t>
        </is>
      </c>
      <c r="B62" s="26" t="inlineStr">
        <is>
          <t>Blue text = cells to fill in daily</t>
        </is>
      </c>
    </row>
  </sheetData>
  <mergeCells count="18">
    <mergeCell ref="A1:H1"/>
    <mergeCell ref="E6:F6"/>
    <mergeCell ref="C6:D6"/>
    <mergeCell ref="C10:D10"/>
    <mergeCell ref="E10:F10"/>
    <mergeCell ref="A2:H2"/>
    <mergeCell ref="G10:H10"/>
    <mergeCell ref="C5:D5"/>
    <mergeCell ref="A5:B5"/>
    <mergeCell ref="G5:H5"/>
    <mergeCell ref="E5:F5"/>
    <mergeCell ref="A10:B10"/>
    <mergeCell ref="G6:H6"/>
    <mergeCell ref="C9:D9"/>
    <mergeCell ref="A9:B9"/>
    <mergeCell ref="G9:H9"/>
    <mergeCell ref="E9:F9"/>
    <mergeCell ref="A6:B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2"/>
  <sheetViews>
    <sheetView showGridLines="0" topLeftCell="A4" zoomScale="85" zoomScaleNormal="85" workbookViewId="0">
      <selection activeCell="F11" sqref="F11"/>
    </sheetView>
  </sheetViews>
  <sheetFormatPr baseColWidth="8" defaultColWidth="8.7109375" defaultRowHeight="15"/>
  <cols>
    <col width="13" customWidth="1" style="43" min="1" max="1"/>
    <col width="13.7109375" customWidth="1" style="43" min="2" max="2"/>
    <col width="14.85546875" customWidth="1" style="43" min="3" max="3"/>
    <col width="16.7109375" customWidth="1" style="43" min="4" max="4"/>
    <col width="17.28515625" customWidth="1" style="43" min="5" max="5"/>
    <col width="12" customWidth="1" style="43" min="6" max="7"/>
    <col width="15.42578125" customWidth="1" style="43" min="8" max="8"/>
    <col width="14.85546875" customWidth="1" style="43" min="9" max="10"/>
    <col width="15.42578125" customWidth="1" style="43" min="11" max="11"/>
    <col width="12" customWidth="1" style="43" min="12" max="13"/>
    <col width="15.5703125" customWidth="1" style="43" min="14" max="14"/>
    <col width="17" customWidth="1" style="43" min="15" max="15"/>
    <col width="15.28515625" customWidth="1" style="43" min="16" max="16"/>
    <col width="15.42578125" customWidth="1" style="43" min="17" max="17"/>
    <col width="12" customWidth="1" style="43" min="18" max="18"/>
    <col width="14" customWidth="1" style="43" min="19" max="19"/>
    <col width="15.28515625" customWidth="1" style="43" min="20" max="20"/>
    <col width="18.85546875" customWidth="1" style="43" min="21" max="21"/>
    <col width="16.28515625" customWidth="1" style="43" min="22" max="22"/>
    <col width="16" customWidth="1" style="43" min="23" max="23"/>
    <col width="15.28515625" customWidth="1" style="43" min="24" max="25"/>
  </cols>
  <sheetData>
    <row r="1" ht="23.25" customHeight="1" s="43">
      <c r="A1" s="99" t="inlineStr">
        <is>
          <t>SAMPLE FEEDS &amp; CO. — DAILY DATA ENTRY SHEET</t>
        </is>
      </c>
    </row>
    <row r="2" ht="15" customHeight="1" s="43">
      <c r="A2" s="100" t="inlineStr">
        <is>
          <t>Fill in the yellow cells only (one row per day). The MD Dashboard updates automatically.</t>
        </is>
      </c>
    </row>
    <row r="3"/>
    <row r="4" ht="15.75" customHeight="1" s="43">
      <c r="A4" s="75" t="inlineStr">
        <is>
          <t>MONTHLY SETUP</t>
        </is>
      </c>
      <c r="J4" s="75" t="n"/>
    </row>
    <row r="5" ht="15" customHeight="1" s="43">
      <c r="A5" s="90" t="inlineStr">
        <is>
          <t>Reporting Month</t>
        </is>
      </c>
      <c r="F5" s="66" t="n">
        <v>46023</v>
      </c>
    </row>
    <row r="6" ht="15" customHeight="1" s="43">
      <c r="A6" s="90" t="inlineStr">
        <is>
          <t>Planned leave for month hrs</t>
        </is>
      </c>
      <c r="B6" s="90" t="n"/>
      <c r="C6" s="90" t="n"/>
      <c r="D6" s="90" t="n"/>
      <c r="E6" s="90" t="n"/>
      <c r="F6" s="68" t="n">
        <v>24</v>
      </c>
    </row>
    <row r="7" ht="15" customHeight="1" s="43">
      <c r="A7" s="90" t="inlineStr">
        <is>
          <t>Unit 1 — Planned Run Hours / Day</t>
        </is>
      </c>
      <c r="F7" s="68" t="n">
        <v>24</v>
      </c>
    </row>
    <row r="8" ht="15" customHeight="1" s="43">
      <c r="A8" s="90" t="inlineStr">
        <is>
          <t>Unit 2 — Planned Run Hours / Day</t>
        </is>
      </c>
      <c r="F8" s="68" t="n">
        <v>12</v>
      </c>
    </row>
    <row r="9" ht="15" customHeight="1" s="43">
      <c r="A9" s="90" t="inlineStr">
        <is>
          <t>Unit 1 — Production Target (MT)  [single overall target — not split by product]</t>
        </is>
      </c>
      <c r="F9" s="68" t="n">
        <v>5000</v>
      </c>
    </row>
    <row r="10" ht="15" customHeight="1" s="43">
      <c r="A10" s="90" t="inlineStr">
        <is>
          <t>Unit 2 — Production Target (MT)</t>
        </is>
      </c>
      <c r="F10" s="68" t="n">
        <v>150</v>
      </c>
    </row>
    <row r="11" ht="15" customHeight="1" s="43">
      <c r="A11" s="90" t="inlineStr">
        <is>
          <t>Current FG Stock POULTRY (MT)</t>
        </is>
      </c>
      <c r="F11" s="68">
        <f>'FG Sheet'!B3</f>
        <v/>
      </c>
    </row>
    <row r="12" ht="15" customHeight="1" s="43">
      <c r="A12" s="90" t="inlineStr">
        <is>
          <t>Current FG Stock CATTLE (MT)</t>
        </is>
      </c>
      <c r="F12" s="68">
        <f>'FG Sheet'!E3</f>
        <v/>
      </c>
    </row>
    <row r="13" ht="15" customHeight="1" s="43">
      <c r="A13" s="90" t="inlineStr">
        <is>
          <t>Current RM Stock (MT)</t>
        </is>
      </c>
      <c r="F13" s="68">
        <f>'RM Sheet'!B3</f>
        <v/>
      </c>
    </row>
    <row r="14" ht="15" customHeight="1" s="43">
      <c r="A14" s="91" t="inlineStr">
        <is>
          <t>Note: OEE = Availability % = (Planned Run Hours − Downtime) ÷ Planned Run Hours. Targets are tracked as a single overall figure per unit (not split by product). Sales are tracked as one company total (not split by unit). Downtime is tracked by reason (Product Change / Die Change / Breakdown / Others), not as one lump figure. Purchase Orders are tracked as Mechanical or Spares.</t>
        </is>
      </c>
    </row>
    <row r="15"/>
    <row r="16" ht="15.75" customHeight="1" s="43">
      <c r="A16" s="75" t="inlineStr">
        <is>
          <t>DAILY LOG — ONE ROW PER DAY (all units + utilities together)</t>
        </is>
      </c>
    </row>
    <row r="17" ht="15" customHeight="1" s="43">
      <c r="B17" s="92" t="inlineStr">
        <is>
          <t>UNIT 1 — BRAND A POULTRY &amp; CATTLE (PRODUCTION, MT)</t>
        </is>
      </c>
      <c r="C17" s="105" t="n"/>
      <c r="D17" s="105" t="n"/>
      <c r="E17" s="105" t="n"/>
      <c r="F17" s="105" t="n"/>
      <c r="G17" s="106" t="n"/>
      <c r="H17" s="93" t="inlineStr">
        <is>
          <t>UNIT 1 DOWNTIME BY REASON (Hrs)</t>
        </is>
      </c>
      <c r="I17" s="105" t="n"/>
      <c r="J17" s="105" t="n"/>
      <c r="K17" s="105" t="n"/>
      <c r="L17" s="106" t="n"/>
      <c r="M17" s="107" t="inlineStr">
        <is>
          <t>UNIT 2</t>
        </is>
      </c>
      <c r="N17" s="106" t="n"/>
      <c r="O17" s="94" t="inlineStr">
        <is>
          <t>UNIT 2 DOWNTIME BY REASON (Hrs)</t>
        </is>
      </c>
      <c r="P17" s="105" t="n"/>
      <c r="Q17" s="105" t="n"/>
      <c r="R17" s="106" t="n"/>
      <c r="S17" s="95" t="inlineStr">
        <is>
          <t>SALES, EXPENSES &amp; PURCHASE ORDERS</t>
        </is>
      </c>
      <c r="T17" s="105" t="n"/>
      <c r="U17" s="105" t="n"/>
      <c r="V17" s="106" t="n"/>
      <c r="W17" s="96" t="inlineStr">
        <is>
          <t>ELECTRICAL / POWER (kWh)</t>
        </is>
      </c>
      <c r="X17" s="105" t="n"/>
      <c r="Y17" s="106" t="n"/>
    </row>
    <row r="18" ht="30" customHeight="1" s="43">
      <c r="A18" s="4" t="inlineStr">
        <is>
          <t>Date</t>
        </is>
      </c>
      <c r="B18" s="52" t="inlineStr">
        <is>
          <t>Brand A - Poultry
(MT)</t>
        </is>
      </c>
      <c r="C18" s="52" t="inlineStr">
        <is>
          <t>Brand A - Cattle
(MT)</t>
        </is>
      </c>
      <c r="D18" s="52" t="inlineStr">
        <is>
          <t>Brand B - Poultry
(MT)</t>
        </is>
      </c>
      <c r="E18" s="52" t="inlineStr">
        <is>
          <t>Brand B - Cattle
(MT)</t>
        </is>
      </c>
      <c r="F18" s="52" t="inlineStr">
        <is>
          <t>Brand C
(MT)</t>
        </is>
      </c>
      <c r="G18" s="52" t="inlineStr">
        <is>
          <t>Others
(MT)</t>
        </is>
      </c>
      <c r="H18" s="52" t="inlineStr">
        <is>
          <t>Product Change
(Hrs)</t>
        </is>
      </c>
      <c r="I18" s="52" t="inlineStr">
        <is>
          <t>Die Change
(Hrs)</t>
        </is>
      </c>
      <c r="J18" s="52" t="inlineStr">
        <is>
          <t>Power Cut</t>
        </is>
      </c>
      <c r="K18" s="52" t="inlineStr">
        <is>
          <t>Breakdown
(Hrs)</t>
        </is>
      </c>
      <c r="L18" s="52" t="inlineStr">
        <is>
          <t>Others
(Hrs)</t>
        </is>
      </c>
      <c r="M18" s="52" t="inlineStr">
        <is>
          <t>Brand A (MT)</t>
        </is>
      </c>
      <c r="N18" s="52" t="inlineStr">
        <is>
          <t>Brand C (MT)</t>
        </is>
      </c>
      <c r="O18" s="52" t="inlineStr">
        <is>
          <t>Product Change
(Hrs)</t>
        </is>
      </c>
      <c r="P18" s="52" t="inlineStr">
        <is>
          <t>Die Change
(Hrs)</t>
        </is>
      </c>
      <c r="Q18" s="52" t="inlineStr">
        <is>
          <t>Breakdown
(Hrs)</t>
        </is>
      </c>
      <c r="R18" s="52" t="inlineStr">
        <is>
          <t>Others
(Hrs)</t>
        </is>
      </c>
      <c r="S18" s="52" t="inlineStr">
        <is>
          <t>Total Sales
(₹)</t>
        </is>
      </c>
      <c r="T18" s="52" t="inlineStr">
        <is>
          <t>Office Expense
(₹)</t>
        </is>
      </c>
      <c r="U18" s="52" t="inlineStr">
        <is>
          <t>PO - Mechanical
(Count)</t>
        </is>
      </c>
      <c r="V18" s="52" t="inlineStr">
        <is>
          <t>PO - RM
(Count)</t>
        </is>
      </c>
      <c r="W18" s="52" t="inlineStr">
        <is>
          <t>Solar Units
(kWh)</t>
        </is>
      </c>
      <c r="X18" s="52" t="inlineStr">
        <is>
          <t>EB Units
(kWh)</t>
        </is>
      </c>
      <c r="Y18" s="52" t="inlineStr">
        <is>
          <t>Grid Units
(kWh)</t>
        </is>
      </c>
    </row>
    <row r="19" ht="24.95" customHeight="1" s="43">
      <c r="A19" s="51" t="n">
        <v>46204</v>
      </c>
      <c r="B19" s="68" t="n">
        <v>42</v>
      </c>
      <c r="C19" s="68" t="n"/>
      <c r="D19" s="68" t="n">
        <v>58.8</v>
      </c>
      <c r="E19" s="68" t="n"/>
      <c r="F19" s="68" t="n"/>
      <c r="G19" s="68" t="n"/>
      <c r="H19" s="68">
        <f>30/60</f>
        <v/>
      </c>
      <c r="I19" s="68" t="n"/>
      <c r="J19" s="68" t="n"/>
      <c r="K19" s="68" t="n"/>
      <c r="L19" s="68">
        <f>20/60</f>
        <v/>
      </c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>
        <v>1</v>
      </c>
      <c r="V19" s="68" t="n"/>
      <c r="W19" s="68" t="n"/>
      <c r="X19" s="68" t="n"/>
      <c r="Y19" s="68" t="n"/>
    </row>
    <row r="20" ht="24.95" customHeight="1" s="43">
      <c r="A20" s="51" t="n">
        <v>46205</v>
      </c>
      <c r="B20" s="68" t="n"/>
      <c r="C20" s="68" t="n"/>
      <c r="D20" s="68" t="n">
        <v>98.8</v>
      </c>
      <c r="E20" s="68" t="n"/>
      <c r="F20" s="68" t="n"/>
      <c r="G20" s="68" t="n"/>
      <c r="H20" s="68" t="n"/>
      <c r="I20" s="68" t="n"/>
      <c r="J20" s="68">
        <f>120/60</f>
        <v/>
      </c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</row>
    <row r="21" ht="24.95" customHeight="1" s="43">
      <c r="A21" s="51" t="n">
        <v>46206</v>
      </c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</row>
    <row r="22" ht="24.95" customHeight="1" s="43">
      <c r="A22" s="51" t="n">
        <v>46207</v>
      </c>
      <c r="B22" s="68" t="n"/>
      <c r="C22" s="68" t="n"/>
      <c r="D22" s="68" t="n">
        <v>80.40000000000001</v>
      </c>
      <c r="E22" s="68" t="n"/>
      <c r="F22" s="68" t="n">
        <v>95.90000000000001</v>
      </c>
      <c r="G22" s="68" t="n"/>
      <c r="H22" s="68" t="n">
        <v>0</v>
      </c>
      <c r="I22" s="68" t="n"/>
      <c r="J22" s="68">
        <f>10/60</f>
        <v/>
      </c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</row>
    <row r="23" ht="24.95" customHeight="1" s="43">
      <c r="A23" s="51" t="n">
        <v>46208</v>
      </c>
      <c r="B23" s="68" t="n">
        <v>35.3</v>
      </c>
      <c r="C23" s="68" t="n"/>
      <c r="D23" s="68" t="n">
        <v>59.3</v>
      </c>
      <c r="E23" s="68" t="n"/>
      <c r="F23" s="68" t="n">
        <v>55.8</v>
      </c>
      <c r="G23" s="68" t="n"/>
      <c r="H23" s="68">
        <f>120/60</f>
        <v/>
      </c>
      <c r="I23" s="68" t="n"/>
      <c r="J23" s="68" t="n"/>
      <c r="K23" s="68" t="n"/>
      <c r="L23" s="68">
        <f>60/60</f>
        <v/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</row>
    <row r="24" ht="24.95" customHeight="1" s="43">
      <c r="A24" s="51" t="n">
        <v>46209</v>
      </c>
      <c r="B24" s="68" t="n"/>
      <c r="C24" s="68" t="n"/>
      <c r="D24" s="68" t="n">
        <v>127.2</v>
      </c>
      <c r="E24" s="68" t="n"/>
      <c r="F24" s="68" t="n"/>
      <c r="G24" s="68" t="n"/>
      <c r="H24" s="68">
        <f>30/60</f>
        <v/>
      </c>
      <c r="I24" s="68" t="n"/>
      <c r="J24" s="68" t="n">
        <v>0</v>
      </c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</row>
    <row r="25" ht="24.95" customHeight="1" s="43">
      <c r="A25" s="51" t="n">
        <v>46210</v>
      </c>
      <c r="B25" s="68">
        <f>15/60</f>
        <v/>
      </c>
      <c r="C25" s="68" t="n">
        <v>29.4</v>
      </c>
      <c r="D25" s="68" t="n">
        <v>169.1</v>
      </c>
      <c r="E25" s="68" t="n"/>
      <c r="F25" s="68" t="n">
        <v>48</v>
      </c>
      <c r="G25" s="68" t="n"/>
      <c r="H25" s="68">
        <f>45/60</f>
        <v/>
      </c>
      <c r="I25" s="68" t="n"/>
      <c r="J25" s="68" t="n"/>
      <c r="K25" s="68" t="n"/>
      <c r="L25" s="68">
        <f>60/60</f>
        <v/>
      </c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</row>
    <row r="26" ht="24.95" customHeight="1" s="43">
      <c r="A26" s="51" t="n">
        <v>46211</v>
      </c>
      <c r="B26" s="68" t="n"/>
      <c r="C26" s="68" t="n">
        <v>8.4</v>
      </c>
      <c r="D26" s="68" t="n"/>
      <c r="E26" s="68" t="n"/>
      <c r="F26" s="68" t="n"/>
      <c r="G26" s="68" t="n">
        <v>5</v>
      </c>
      <c r="H26" s="68">
        <f>30/60</f>
        <v/>
      </c>
      <c r="I26" s="68" t="n"/>
      <c r="J26" s="68" t="n"/>
      <c r="K26" s="68" t="n"/>
      <c r="L26" s="68" t="n">
        <v>1.09</v>
      </c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24.95" customHeight="1" s="43">
      <c r="A27" s="51" t="n">
        <v>46212</v>
      </c>
      <c r="B27" s="68" t="n"/>
      <c r="C27" s="68" t="n">
        <v>23.8</v>
      </c>
      <c r="D27" s="68" t="n"/>
      <c r="E27" s="68" t="n"/>
      <c r="F27" s="68" t="n"/>
      <c r="G27" s="68" t="n">
        <v>6</v>
      </c>
      <c r="H27" s="68">
        <f>10/60</f>
        <v/>
      </c>
      <c r="I27" s="68" t="n"/>
      <c r="J27" s="68" t="n"/>
      <c r="K27" s="68" t="n"/>
      <c r="L27" s="68">
        <f>120/60</f>
        <v/>
      </c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24.95" customHeight="1" s="43">
      <c r="A28" s="51" t="n">
        <v>46213</v>
      </c>
      <c r="B28" s="68" t="n">
        <v>24.7</v>
      </c>
      <c r="C28" s="68" t="n">
        <v>27</v>
      </c>
      <c r="D28" s="68" t="n"/>
      <c r="E28" s="68" t="n"/>
      <c r="F28" s="68" t="n">
        <v>179.4</v>
      </c>
      <c r="G28" s="68" t="n">
        <v>5</v>
      </c>
      <c r="H28" s="68">
        <f>20/60</f>
        <v/>
      </c>
      <c r="I28" s="68" t="n">
        <v>0.09</v>
      </c>
      <c r="J28" s="68">
        <f>20/60</f>
        <v/>
      </c>
      <c r="K28" s="68" t="n"/>
      <c r="L28" s="68">
        <f>30/60</f>
        <v/>
      </c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24.95" customHeight="1" s="43">
      <c r="A29" s="51" t="n">
        <v>46214</v>
      </c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24.95" customHeight="1" s="43">
      <c r="A30" s="51" t="n">
        <v>46215</v>
      </c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24.95" customHeight="1" s="43">
      <c r="A31" s="51" t="n">
        <v>46216</v>
      </c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24.95" customHeight="1" s="43">
      <c r="A32" s="51" t="n">
        <v>46217</v>
      </c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24.95" customHeight="1" s="43">
      <c r="A33" s="51" t="n">
        <v>46218</v>
      </c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24.95" customHeight="1" s="43">
      <c r="A34" s="51" t="n">
        <v>46219</v>
      </c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24.95" customHeight="1" s="43">
      <c r="A35" s="51" t="n">
        <v>46220</v>
      </c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24.95" customHeight="1" s="43">
      <c r="A36" s="51" t="n">
        <v>46221</v>
      </c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24.95" customHeight="1" s="43">
      <c r="A37" s="51" t="n">
        <v>46222</v>
      </c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</row>
    <row r="38" ht="24.95" customHeight="1" s="43">
      <c r="A38" s="51" t="n">
        <v>46223</v>
      </c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</row>
    <row r="39" ht="24.95" customHeight="1" s="43">
      <c r="A39" s="51" t="n">
        <v>46224</v>
      </c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</row>
    <row r="40" ht="24.95" customHeight="1" s="43">
      <c r="A40" s="51" t="n">
        <v>46225</v>
      </c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</row>
    <row r="41" ht="24.95" customHeight="1" s="43">
      <c r="A41" s="51" t="n">
        <v>46226</v>
      </c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</row>
    <row r="42" ht="24.95" customHeight="1" s="43">
      <c r="A42" s="51" t="n">
        <v>46227</v>
      </c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</row>
    <row r="43" ht="24.95" customHeight="1" s="43">
      <c r="A43" s="51" t="n">
        <v>46228</v>
      </c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</row>
    <row r="44" ht="24.95" customHeight="1" s="43">
      <c r="A44" s="51" t="n">
        <v>46229</v>
      </c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</row>
    <row r="45" ht="24.95" customHeight="1" s="43">
      <c r="A45" s="51" t="n">
        <v>46230</v>
      </c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</row>
    <row r="46" ht="24.95" customHeight="1" s="43">
      <c r="A46" s="51" t="n">
        <v>46231</v>
      </c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</row>
    <row r="47" ht="24.95" customHeight="1" s="43">
      <c r="A47" s="51" t="n">
        <v>46232</v>
      </c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</row>
    <row r="48" ht="24.95" customHeight="1" s="43">
      <c r="A48" s="51" t="n">
        <v>46233</v>
      </c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</row>
    <row r="49" ht="24.95" customHeight="1" s="43">
      <c r="A49" s="51" t="n">
        <v>46234</v>
      </c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</row>
    <row r="50" ht="26.25" customHeight="1" s="43">
      <c r="B50" s="55">
        <f>SUM(B19:B49)</f>
        <v/>
      </c>
      <c r="C50" s="55">
        <f>SUM(C19:C49)</f>
        <v/>
      </c>
      <c r="D50" s="55">
        <f>SUM(D19:D49)</f>
        <v/>
      </c>
      <c r="E50" s="55">
        <f>SUM(E19:E49)</f>
        <v/>
      </c>
      <c r="F50" s="55">
        <f>SUM(F20:F49)</f>
        <v/>
      </c>
      <c r="G50" s="55">
        <f>SUM(G19:G49)</f>
        <v/>
      </c>
      <c r="H50" s="55">
        <f>SUM(H19:H49)</f>
        <v/>
      </c>
      <c r="I50" s="55">
        <f>SUM(I19:I49)</f>
        <v/>
      </c>
      <c r="J50" s="55" t="n"/>
      <c r="K50" s="55">
        <f>SUM(K19:K49)</f>
        <v/>
      </c>
      <c r="L50" s="55">
        <f>SUM(L19:L49)</f>
        <v/>
      </c>
      <c r="M50" s="55">
        <f>SUM(M19:M49)</f>
        <v/>
      </c>
      <c r="N50" s="55">
        <f>SUM(N19:N49)</f>
        <v/>
      </c>
    </row>
    <row r="51"/>
    <row r="52">
      <c r="C52" s="54" t="inlineStr">
        <is>
          <t>total</t>
        </is>
      </c>
      <c r="D52" s="54">
        <f>SUM(B50:G50)</f>
        <v/>
      </c>
      <c r="E52" s="54" t="n"/>
      <c r="F52" s="54" t="n"/>
      <c r="G52" s="54" t="n"/>
      <c r="H52" s="54" t="inlineStr">
        <is>
          <t>TOTAL</t>
        </is>
      </c>
      <c r="I52" s="54">
        <f>H50+I50+K50+L50</f>
        <v/>
      </c>
      <c r="J52" s="54" t="n"/>
      <c r="K52" s="54" t="n"/>
      <c r="L52" s="54" t="n"/>
      <c r="M52" s="54" t="n"/>
      <c r="N52" s="54" t="n"/>
    </row>
  </sheetData>
  <mergeCells count="19">
    <mergeCell ref="A2:Y2"/>
    <mergeCell ref="A14:Y14"/>
    <mergeCell ref="B17:G17"/>
    <mergeCell ref="O17:R17"/>
    <mergeCell ref="A11:E11"/>
    <mergeCell ref="A7:E7"/>
    <mergeCell ref="W17:Y17"/>
    <mergeCell ref="A4:I4"/>
    <mergeCell ref="A12:E12"/>
    <mergeCell ref="H17:L17"/>
    <mergeCell ref="A1:Y1"/>
    <mergeCell ref="S17:V17"/>
    <mergeCell ref="A5:E5"/>
    <mergeCell ref="A8:E8"/>
    <mergeCell ref="M17:N17"/>
    <mergeCell ref="A16:Y16"/>
    <mergeCell ref="A10:E10"/>
    <mergeCell ref="A13:E13"/>
    <mergeCell ref="A9:E9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showGridLines="0" topLeftCell="A4" zoomScale="115" zoomScaleNormal="115" workbookViewId="0">
      <selection activeCell="E9" sqref="E9"/>
    </sheetView>
  </sheetViews>
  <sheetFormatPr baseColWidth="8" defaultColWidth="8.7109375" defaultRowHeight="15"/>
  <cols>
    <col width="12" customWidth="1" style="43" min="1" max="1"/>
    <col width="16" customWidth="1" style="43" min="2" max="2"/>
    <col width="14" customWidth="1" style="43" min="3" max="3"/>
    <col width="20" customWidth="1" style="43" min="4" max="4"/>
    <col width="14" customWidth="1" style="43" min="5" max="6"/>
    <col width="16" customWidth="1" style="43" min="7" max="7"/>
    <col width="24" customWidth="1" style="43" min="8" max="8"/>
    <col width="8.7109375" customWidth="1" style="43" min="9" max="12"/>
  </cols>
  <sheetData>
    <row r="1" ht="25.5" customHeight="1" s="43">
      <c r="A1" s="88" t="inlineStr">
        <is>
          <t>Sample Feeds &amp; Co.  |  Own Fleet — Live Status</t>
        </is>
      </c>
      <c r="I1" s="23" t="n"/>
      <c r="J1" s="23" t="n"/>
      <c r="K1" s="23" t="n"/>
      <c r="L1" s="23" t="n"/>
    </row>
    <row r="2" ht="18" customHeight="1" s="43">
      <c r="A2" s="89" t="inlineStr">
        <is>
          <t>Live status of the 3 company-owned vehicles.</t>
        </is>
      </c>
      <c r="I2" s="23" t="n"/>
      <c r="J2" s="23" t="n"/>
      <c r="K2" s="23" t="n"/>
      <c r="L2" s="23" t="n"/>
    </row>
    <row r="3" ht="15" customHeight="1" s="4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</row>
    <row r="4" ht="30" customHeight="1" s="43">
      <c r="A4" s="101" t="inlineStr">
        <is>
          <t>OWN FLEET — LIVE STATUS (3 Company Vehicles)</t>
        </is>
      </c>
      <c r="I4" s="23" t="n"/>
      <c r="J4" s="23" t="n"/>
      <c r="K4" s="23" t="n"/>
      <c r="L4" s="23" t="n"/>
    </row>
    <row r="5" ht="15" customHeight="1" s="43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" customHeight="1" s="43">
      <c r="A6" s="102" t="inlineStr">
        <is>
          <t>Vehicle No</t>
        </is>
      </c>
      <c r="B6" s="102" t="inlineStr">
        <is>
          <t>Driver Name</t>
        </is>
      </c>
      <c r="C6" s="102" t="inlineStr">
        <is>
          <t>Driver Phone</t>
        </is>
      </c>
      <c r="D6" s="102" t="inlineStr">
        <is>
          <t>Current Location</t>
        </is>
      </c>
      <c r="E6" s="102" t="inlineStr">
        <is>
          <t>Trip Status</t>
        </is>
      </c>
      <c r="F6" s="102" t="inlineStr">
        <is>
          <t>Next Schedule</t>
        </is>
      </c>
      <c r="G6" s="102" t="inlineStr">
        <is>
          <t>Last Updated</t>
        </is>
      </c>
      <c r="H6" s="102" t="inlineStr">
        <is>
          <t>Remarks</t>
        </is>
      </c>
      <c r="I6" s="23" t="n"/>
      <c r="J6" s="23" t="n"/>
      <c r="K6" s="23" t="n"/>
      <c r="L6" s="23" t="n"/>
    </row>
    <row r="7" ht="24.95" customFormat="1" customHeight="1" s="54">
      <c r="A7" s="45" t="n"/>
      <c r="B7" s="45" t="n"/>
      <c r="C7" s="45" t="n"/>
      <c r="D7" s="45" t="n"/>
      <c r="E7" s="38" t="inlineStr">
        <is>
          <t>Idle</t>
        </is>
      </c>
      <c r="F7" s="45" t="n"/>
      <c r="G7" s="45" t="n"/>
      <c r="H7" s="45" t="n"/>
      <c r="I7" s="23" t="n"/>
      <c r="J7" s="23" t="n"/>
      <c r="K7" s="23" t="n"/>
      <c r="L7" s="23" t="n"/>
      <c r="M7" s="61" t="n"/>
    </row>
    <row r="8" ht="24.95" customFormat="1" customHeight="1" s="54">
      <c r="A8" s="45" t="n"/>
      <c r="B8" s="45" t="n"/>
      <c r="C8" s="45" t="n"/>
      <c r="D8" s="45" t="n"/>
      <c r="E8" s="38" t="inlineStr">
        <is>
          <t>Idle</t>
        </is>
      </c>
      <c r="F8" s="45" t="n"/>
      <c r="G8" s="45" t="n"/>
      <c r="H8" s="45" t="n"/>
      <c r="I8" s="23" t="n"/>
      <c r="J8" s="23" t="n"/>
      <c r="K8" s="23" t="n"/>
      <c r="L8" s="23" t="n"/>
      <c r="M8" s="61" t="n"/>
    </row>
    <row r="9" ht="24.95" customFormat="1" customHeight="1" s="54">
      <c r="A9" s="45" t="n"/>
      <c r="B9" s="45" t="n"/>
      <c r="C9" s="45" t="n"/>
      <c r="D9" s="45" t="n"/>
      <c r="E9" s="38" t="inlineStr">
        <is>
          <t>Unloading</t>
        </is>
      </c>
      <c r="F9" s="45" t="n"/>
      <c r="G9" s="45" t="n"/>
      <c r="H9" s="45" t="n"/>
      <c r="I9" s="23" t="n"/>
      <c r="J9" s="23" t="n"/>
      <c r="K9" s="23" t="n"/>
      <c r="L9" s="23" t="n"/>
      <c r="M9" s="61" t="n"/>
    </row>
    <row r="10" ht="15" customHeight="1" s="43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 ht="15" customHeight="1" s="43">
      <c r="A11" s="25" t="inlineStr">
        <is>
          <t>Legend:</t>
        </is>
      </c>
      <c r="B11" s="26" t="inlineStr">
        <is>
          <t>Blue text = cells to fill in daily</t>
        </is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</row>
    <row r="12" ht="15" customHeight="1" s="43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</row>
    <row r="13" ht="15" customHeight="1" s="43">
      <c r="A13" s="27" t="inlineStr">
        <is>
          <t>Fleet Status Overview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</row>
    <row r="14" ht="15" customHeight="1" s="43">
      <c r="A14" s="28" t="inlineStr">
        <is>
          <t>Status</t>
        </is>
      </c>
      <c r="B14" s="28" t="inlineStr">
        <is>
          <t>Vehicle Count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 ht="15" customHeight="1" s="43">
      <c r="A15" s="29" t="inlineStr">
        <is>
          <t>In-Transit</t>
        </is>
      </c>
      <c r="B15" s="30">
        <f>COUNTIF($E$7:$E$9,A15)</f>
        <v/>
      </c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6" ht="15" customHeight="1" s="43">
      <c r="A16" s="29" t="inlineStr">
        <is>
          <t>Loading</t>
        </is>
      </c>
      <c r="B16" s="30">
        <f>COUNTIF($E$7:$E$9,A16)</f>
        <v/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</row>
    <row r="17" ht="15" customHeight="1" s="43">
      <c r="A17" s="29" t="inlineStr">
        <is>
          <t>Unloading</t>
        </is>
      </c>
      <c r="B17" s="30">
        <f>COUNTIF($E$7:$E$9,A17)</f>
        <v/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</row>
    <row r="18" ht="15" customHeight="1" s="43">
      <c r="A18" s="29" t="inlineStr">
        <is>
          <t>Idle</t>
        </is>
      </c>
      <c r="B18" s="30">
        <f>COUNTIF($E$7:$E$9,A18)</f>
        <v/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 ht="15" customHeight="1" s="43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</row>
    <row r="20" ht="15" customHeight="1" s="43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 ht="15" customHeight="1" s="43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  <row r="22" ht="15" customHeight="1" s="43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 ht="15" customHeight="1" s="4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</row>
    <row r="24" ht="15" customHeight="1" s="43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 ht="15" customHeight="1" s="43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</row>
    <row r="26" ht="15" customHeight="1" s="43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</row>
    <row r="27" ht="15" customHeight="1" s="43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</row>
    <row r="28" ht="15" customHeight="1" s="43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 ht="15" customHeight="1" s="43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</row>
    <row r="30" ht="15" customHeight="1" s="43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</row>
    <row r="31" ht="15" customHeight="1" s="43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</row>
    <row r="32" ht="15" customHeight="1" s="43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</row>
    <row r="33" ht="15" customHeight="1" s="4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</row>
    <row r="34" ht="15" customHeight="1" s="43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 ht="15" customHeight="1" s="43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</row>
    <row r="36" ht="15" customHeight="1" s="43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 ht="15" customHeight="1" s="43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</row>
    <row r="38" ht="15" customHeight="1" s="43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</row>
    <row r="39" ht="15" customHeight="1" s="43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</row>
    <row r="40" ht="15" customHeight="1" s="43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</row>
    <row r="41" ht="15" customHeight="1" s="43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</row>
    <row r="42" ht="15" customHeight="1" s="43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</row>
    <row r="43" ht="15" customHeight="1" s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</row>
    <row r="44" ht="15" customHeight="1" s="43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</row>
    <row r="45" ht="15" customHeight="1" s="43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</row>
    <row r="46" ht="15" customHeight="1" s="43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</row>
    <row r="47" ht="15" customHeight="1" s="43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</row>
    <row r="48" ht="15" customHeight="1" s="43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</row>
    <row r="49" ht="15" customHeight="1" s="43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</row>
    <row r="50" ht="15" customHeight="1" s="43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</row>
    <row r="51" ht="15" customHeight="1" s="43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</row>
    <row r="52" ht="15" customHeight="1" s="43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</row>
    <row r="53" ht="15" customHeight="1" s="4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</row>
    <row r="54" ht="15" customHeight="1" s="43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</row>
    <row r="55" ht="15" customHeight="1" s="43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</row>
    <row r="56" ht="15" customHeight="1" s="43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</row>
    <row r="57" ht="15" customHeight="1" s="43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</row>
    <row r="58" ht="15" customHeight="1" s="43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</row>
    <row r="59" ht="15" customHeight="1" s="43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</row>
    <row r="60" ht="15" customHeight="1" s="43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</row>
    <row r="61" ht="15" customHeight="1" s="43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</row>
    <row r="62" ht="15" customHeight="1" s="43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</row>
    <row r="63" ht="15" customHeight="1" s="4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</row>
    <row r="64" ht="15" customHeight="1" s="43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</row>
    <row r="65" ht="15" customHeight="1" s="43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</row>
    <row r="66" ht="15" customHeight="1" s="43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</row>
    <row r="67" ht="15" customHeight="1" s="43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</row>
    <row r="68" ht="15" customHeight="1" s="43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</row>
    <row r="70" ht="15.75" customHeight="1" s="43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</row>
    <row r="71" ht="30" customHeight="1" s="43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</row>
    <row r="72" ht="15" customHeight="1" s="43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</row>
    <row r="73" ht="15" customHeight="1" s="4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</row>
    <row r="74" ht="15" customHeight="1" s="43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</row>
    <row r="75" ht="15" customHeight="1" s="43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</row>
    <row r="76" ht="15" customHeight="1" s="43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</row>
    <row r="79" ht="21.75" customHeight="1" s="43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</row>
    <row r="81" ht="30" customHeight="1" s="43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</row>
    <row r="82" ht="15" customHeight="1" s="43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</row>
    <row r="83" ht="15" customHeight="1" s="4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</row>
    <row r="84" ht="15" customHeight="1" s="43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</row>
    <row r="85" ht="15" customHeight="1" s="43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</row>
    <row r="87" ht="15.75" customHeight="1" s="43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</row>
    <row r="88" ht="30" customHeight="1" s="43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</row>
    <row r="89" ht="15" customHeight="1" s="43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</row>
    <row r="90" ht="15" customHeight="1" s="43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</row>
    <row r="91" ht="15" customHeight="1" s="43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</row>
    <row r="92" ht="15" customHeight="1" s="43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</row>
  </sheetData>
  <mergeCells count="3">
    <mergeCell ref="A4:H4"/>
    <mergeCell ref="A2:H2"/>
    <mergeCell ref="A1:H1"/>
  </mergeCells>
  <dataValidations count="1">
    <dataValidation sqref="E7:E9" showDropDown="0" showInputMessage="1" showErrorMessage="1" allowBlank="1" type="list">
      <formula1>"In-Transit,Loading,Unloading,Idle"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95"/>
  <sheetViews>
    <sheetView showGridLines="0" tabSelected="1" zoomScale="115" zoomScaleNormal="115" workbookViewId="0">
      <selection activeCell="G7" sqref="G7"/>
    </sheetView>
  </sheetViews>
  <sheetFormatPr baseColWidth="8" defaultColWidth="8.7109375" defaultRowHeight="15"/>
  <cols>
    <col width="20" customWidth="1" style="43" min="1" max="1"/>
    <col width="9.42578125" customWidth="1" style="43" min="2" max="2"/>
    <col width="11.7109375" customWidth="1" style="43" min="3" max="3"/>
    <col width="18" customWidth="1" style="43" min="4" max="4"/>
    <col width="11" customWidth="1" style="43" min="5" max="5"/>
    <col width="16.28515625" customWidth="1" style="43" min="6" max="6"/>
    <col width="11" customWidth="1" style="43" min="7" max="11"/>
    <col width="11" customWidth="1" style="43" min="12" max="13"/>
    <col width="8.7109375" customWidth="1" style="43" min="15" max="96"/>
  </cols>
  <sheetData>
    <row r="1" ht="25.5" customHeight="1" s="43">
      <c r="A1" s="88" t="inlineStr">
        <is>
          <t>Sample Feeds &amp; Co.  |  Finished Goods (FG) Dispatch Log</t>
        </is>
      </c>
      <c r="N1" s="23" t="n"/>
    </row>
    <row r="2" ht="18" customHeight="1" s="43">
      <c r="A2" s="89" t="inlineStr">
        <is>
          <t>One row per day — vehicles and tons dispatched, company-wise.</t>
        </is>
      </c>
      <c r="N2" s="23" t="n"/>
    </row>
    <row r="3" ht="15" customHeight="1" s="43">
      <c r="A3" s="36" t="inlineStr">
        <is>
          <t>Total Poultry stock =</t>
        </is>
      </c>
      <c r="B3" s="36" t="n"/>
      <c r="C3" s="23" t="n"/>
      <c r="D3" s="36" t="inlineStr">
        <is>
          <t>Total Cattle Stock =</t>
        </is>
      </c>
      <c r="E3" s="36" t="n"/>
      <c r="F3" s="103" t="inlineStr">
        <is>
          <t xml:space="preserve"> Fill in daily</t>
        </is>
      </c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.75" customHeight="1" s="43">
      <c r="A4" s="102" t="inlineStr">
        <is>
          <t>Date</t>
        </is>
      </c>
      <c r="B4" s="102" t="inlineStr">
        <is>
          <t>Brand A Poultry</t>
        </is>
      </c>
      <c r="D4" s="102" t="inlineStr">
        <is>
          <t>Brand A Cattle</t>
        </is>
      </c>
      <c r="F4" s="102" t="inlineStr">
        <is>
          <t>Brand B</t>
        </is>
      </c>
      <c r="H4" s="102" t="inlineStr">
        <is>
          <t>Brand C</t>
        </is>
      </c>
      <c r="J4" s="102" t="inlineStr">
        <is>
          <t>Others</t>
        </is>
      </c>
      <c r="L4" s="102" t="inlineStr">
        <is>
          <t>Total
Vehicles</t>
        </is>
      </c>
      <c r="M4" s="102" t="inlineStr">
        <is>
          <t>Total Dispatched
(MT)</t>
        </is>
      </c>
      <c r="N4" s="23" t="n"/>
    </row>
    <row r="5" ht="27.75" customHeight="1" s="43" thickBot="1">
      <c r="B5" s="102" t="inlineStr">
        <is>
          <t>Vehicles count</t>
        </is>
      </c>
      <c r="C5" s="102" t="inlineStr">
        <is>
          <t>Dispatched
(MT)</t>
        </is>
      </c>
      <c r="D5" s="102" t="inlineStr">
        <is>
          <t>Vehicles count</t>
        </is>
      </c>
      <c r="E5" s="102" t="inlineStr">
        <is>
          <t>Dispatched
(MT)</t>
        </is>
      </c>
      <c r="F5" s="102" t="inlineStr">
        <is>
          <t>Vehicles count</t>
        </is>
      </c>
      <c r="G5" s="102" t="inlineStr">
        <is>
          <t>Dispatched
(MT)</t>
        </is>
      </c>
      <c r="H5" s="102" t="inlineStr">
        <is>
          <t>Vehicles count</t>
        </is>
      </c>
      <c r="I5" s="102" t="inlineStr">
        <is>
          <t>Dispatched
(MT)</t>
        </is>
      </c>
      <c r="J5" s="102" t="inlineStr">
        <is>
          <t>Vehicles count</t>
        </is>
      </c>
      <c r="K5" s="102" t="inlineStr">
        <is>
          <t>Dispatched
(MT)</t>
        </is>
      </c>
      <c r="N5" s="23" t="n"/>
    </row>
    <row r="6" ht="24.95" customFormat="1" customHeight="1" s="54" thickBot="1">
      <c r="A6" s="50" t="n">
        <v>46235</v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>
        <f>D6+F6+H6+J6</f>
        <v/>
      </c>
      <c r="M6" s="48">
        <f>E6+G6+I6+K6</f>
        <v/>
      </c>
      <c r="N6" s="49" t="n"/>
    </row>
    <row r="7" ht="24.95" customFormat="1" customHeight="1" s="54" thickBot="1">
      <c r="A7" s="50" t="n">
        <v>46236</v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>
        <f>D7+F7+H7+J7</f>
        <v/>
      </c>
      <c r="M7" s="48">
        <f>E7+G7+I7+K7</f>
        <v/>
      </c>
      <c r="N7" s="49" t="n"/>
    </row>
    <row r="8" ht="24.95" customFormat="1" customHeight="1" s="54" thickBot="1">
      <c r="A8" s="50" t="n">
        <v>46237</v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>
        <f>D8+F8+H8+J8</f>
        <v/>
      </c>
      <c r="M8" s="48">
        <f>E8+G8+I8+K8</f>
        <v/>
      </c>
      <c r="N8" s="49" t="n"/>
    </row>
    <row r="9" ht="24.95" customFormat="1" customHeight="1" s="54" thickBot="1">
      <c r="A9" s="50" t="n">
        <v>46238</v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>
        <f>D9+F9+H9+J9</f>
        <v/>
      </c>
      <c r="M9" s="48">
        <f>E9+G9+I9+K9</f>
        <v/>
      </c>
      <c r="N9" s="49" t="n"/>
    </row>
    <row r="10" ht="24.95" customFormat="1" customHeight="1" s="54" thickBot="1">
      <c r="A10" s="50" t="n">
        <v>46239</v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>
        <f>D10+F10+H10+J10</f>
        <v/>
      </c>
      <c r="M10" s="48">
        <f>E10+G10+I10+K10</f>
        <v/>
      </c>
      <c r="N10" s="49" t="n"/>
    </row>
    <row r="11" ht="24.95" customFormat="1" customHeight="1" s="54" thickBot="1">
      <c r="A11" s="50" t="n">
        <v>46240</v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>
        <f>D11+F11+H11+J11</f>
        <v/>
      </c>
      <c r="M11" s="48">
        <f>E11+G11+I11+K11</f>
        <v/>
      </c>
      <c r="N11" s="49" t="n"/>
    </row>
    <row r="12" ht="24.95" customFormat="1" customHeight="1" s="54" thickBot="1">
      <c r="A12" s="50" t="n">
        <v>46241</v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>
        <f>D12+F12+H12+J12</f>
        <v/>
      </c>
      <c r="M12" s="48">
        <f>E12+G12+I12+K12</f>
        <v/>
      </c>
      <c r="N12" s="49" t="n"/>
    </row>
    <row r="13" ht="24.95" customFormat="1" customHeight="1" s="54" thickBot="1">
      <c r="A13" s="50" t="n">
        <v>46242</v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>
        <f>D13+F13+H13+J13</f>
        <v/>
      </c>
      <c r="M13" s="48">
        <f>E13+G13+I13+K13</f>
        <v/>
      </c>
      <c r="N13" s="49" t="n"/>
    </row>
    <row r="14" ht="24.95" customFormat="1" customHeight="1" s="54" thickBot="1">
      <c r="A14" s="50" t="n">
        <v>46243</v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>
        <f>D14+F14+H14+J14</f>
        <v/>
      </c>
      <c r="M14" s="48">
        <f>E14+G14+I14+K14</f>
        <v/>
      </c>
      <c r="N14" s="49" t="n"/>
    </row>
    <row r="15" ht="24.95" customFormat="1" customHeight="1" s="54" thickBot="1">
      <c r="A15" s="50" t="n">
        <v>46244</v>
      </c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>
        <f>D15+F15+H15+J15</f>
        <v/>
      </c>
      <c r="M15" s="48">
        <f>E15+G15+I15+K15</f>
        <v/>
      </c>
      <c r="N15" s="49" t="n"/>
    </row>
    <row r="16" ht="24.95" customFormat="1" customHeight="1" s="54" thickBot="1">
      <c r="A16" s="50" t="n">
        <v>46245</v>
      </c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>
        <f>D16+F16+H16+J16</f>
        <v/>
      </c>
      <c r="M16" s="48">
        <f>E16+G16+I16+K16</f>
        <v/>
      </c>
      <c r="N16" s="49" t="n"/>
    </row>
    <row r="17" ht="24.95" customFormat="1" customHeight="1" s="54" thickBot="1">
      <c r="A17" s="50" t="n">
        <v>46246</v>
      </c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>
        <f>D17+F17+H17+J17</f>
        <v/>
      </c>
      <c r="M17" s="48">
        <f>E17+G17+I17+K17</f>
        <v/>
      </c>
      <c r="N17" s="49" t="n"/>
    </row>
    <row r="18" ht="24.95" customFormat="1" customHeight="1" s="54" thickBot="1">
      <c r="A18" s="50" t="n">
        <v>46247</v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>
        <f>D18+F18+H18+J18</f>
        <v/>
      </c>
      <c r="M18" s="48">
        <f>E18+G18+I18+K18</f>
        <v/>
      </c>
      <c r="N18" s="49" t="n"/>
    </row>
    <row r="19" ht="24.95" customFormat="1" customHeight="1" s="54" thickBot="1">
      <c r="A19" s="50" t="n">
        <v>46248</v>
      </c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>
        <f>D19+F19+H19+J19</f>
        <v/>
      </c>
      <c r="M19" s="48">
        <f>E19+G19+I19+K19</f>
        <v/>
      </c>
      <c r="N19" s="49" t="n"/>
    </row>
    <row r="20" ht="24.95" customFormat="1" customHeight="1" s="54" thickBot="1">
      <c r="A20" s="50" t="n">
        <v>46249</v>
      </c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>
        <f>D20+F20+H20+J20</f>
        <v/>
      </c>
      <c r="M20" s="48">
        <f>E20+G20+I20+K20</f>
        <v/>
      </c>
      <c r="N20" s="49" t="n"/>
    </row>
    <row r="21" ht="24.95" customFormat="1" customHeight="1" s="54" thickBot="1">
      <c r="A21" s="50" t="n">
        <v>46250</v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>
        <f>D21+F21+H21+J21</f>
        <v/>
      </c>
      <c r="M21" s="48">
        <f>E21+G21+I21+K21</f>
        <v/>
      </c>
      <c r="N21" s="49" t="n"/>
    </row>
    <row r="22" ht="24.95" customFormat="1" customHeight="1" s="54" thickBot="1">
      <c r="A22" s="50" t="n">
        <v>46251</v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>
        <f>D22+F22+H22+J22</f>
        <v/>
      </c>
      <c r="M22" s="48">
        <f>E22+G22+I22+K22</f>
        <v/>
      </c>
      <c r="N22" s="49" t="n"/>
    </row>
    <row r="23" ht="24.95" customFormat="1" customHeight="1" s="54" thickBot="1">
      <c r="A23" s="50" t="n">
        <v>46252</v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>
        <f>D23+F23+H23+J23</f>
        <v/>
      </c>
      <c r="M23" s="48">
        <f>E23+G23+I23+K23</f>
        <v/>
      </c>
      <c r="N23" s="49" t="n"/>
    </row>
    <row r="24" ht="24.95" customFormat="1" customHeight="1" s="54" thickBot="1">
      <c r="A24" s="50" t="n">
        <v>46253</v>
      </c>
      <c r="B24" s="48" t="n"/>
      <c r="C24" s="48" t="n"/>
      <c r="D24" s="46" t="n"/>
      <c r="E24" s="47" t="n"/>
      <c r="F24" s="48" t="n"/>
      <c r="G24" s="48" t="n"/>
      <c r="H24" s="46" t="n"/>
      <c r="I24" s="47" t="n"/>
      <c r="J24" s="46" t="n"/>
      <c r="K24" s="47" t="n"/>
      <c r="L24" s="48">
        <f>D24+F24+H24+J24</f>
        <v/>
      </c>
      <c r="M24" s="48">
        <f>E24+G24+I24+K24</f>
        <v/>
      </c>
      <c r="N24" s="44" t="n"/>
    </row>
    <row r="25" ht="24.95" customFormat="1" customHeight="1" s="54" thickBot="1">
      <c r="A25" s="50" t="n">
        <v>46254</v>
      </c>
      <c r="B25" s="48" t="n"/>
      <c r="C25" s="48" t="n"/>
      <c r="D25" s="32" t="n"/>
      <c r="E25" s="33" t="n"/>
      <c r="F25" s="48" t="n"/>
      <c r="G25" s="48" t="n"/>
      <c r="H25" s="32" t="n"/>
      <c r="I25" s="33" t="n"/>
      <c r="J25" s="32" t="n"/>
      <c r="K25" s="33" t="n"/>
      <c r="L25" s="48">
        <f>D25+F25+H25+J25</f>
        <v/>
      </c>
      <c r="M25" s="48">
        <f>E25+G25+I25+K25</f>
        <v/>
      </c>
      <c r="N25" s="44" t="n"/>
    </row>
    <row r="26" ht="24.95" customFormat="1" customHeight="1" s="54" thickBot="1">
      <c r="A26" s="50" t="n">
        <v>46255</v>
      </c>
      <c r="B26" s="48" t="n"/>
      <c r="C26" s="48" t="n"/>
      <c r="D26" s="32" t="n"/>
      <c r="E26" s="33" t="n"/>
      <c r="F26" s="48" t="n"/>
      <c r="G26" s="48" t="n"/>
      <c r="H26" s="32" t="n"/>
      <c r="I26" s="33" t="n"/>
      <c r="J26" s="32" t="n"/>
      <c r="K26" s="33" t="n"/>
      <c r="L26" s="48">
        <f>D26+F26+H26+J26</f>
        <v/>
      </c>
      <c r="M26" s="48">
        <f>E26+G26+I26+K26</f>
        <v/>
      </c>
      <c r="N26" s="44" t="n"/>
    </row>
    <row r="27" ht="24.95" customFormat="1" customHeight="1" s="54" thickBot="1">
      <c r="A27" s="50" t="n">
        <v>46256</v>
      </c>
      <c r="B27" s="48" t="n"/>
      <c r="C27" s="48" t="n"/>
      <c r="D27" s="32" t="n"/>
      <c r="E27" s="33" t="n"/>
      <c r="F27" s="32" t="n"/>
      <c r="G27" s="33" t="n"/>
      <c r="H27" s="32" t="n"/>
      <c r="I27" s="33" t="n"/>
      <c r="J27" s="32" t="n"/>
      <c r="K27" s="33" t="n"/>
      <c r="L27" s="48">
        <f>D27+F27+H27+J27</f>
        <v/>
      </c>
      <c r="M27" s="48">
        <f>E27+G27+I27+K27</f>
        <v/>
      </c>
      <c r="N27" s="44" t="n"/>
    </row>
    <row r="28" ht="24.95" customFormat="1" customHeight="1" s="54" thickBot="1">
      <c r="A28" s="50" t="n">
        <v>46257</v>
      </c>
      <c r="B28" s="48" t="n"/>
      <c r="C28" s="48" t="n"/>
      <c r="D28" s="32" t="n"/>
      <c r="E28" s="33" t="n"/>
      <c r="F28" s="32" t="n"/>
      <c r="G28" s="33" t="n"/>
      <c r="H28" s="32" t="n"/>
      <c r="I28" s="33" t="n"/>
      <c r="J28" s="32" t="n"/>
      <c r="K28" s="33" t="n"/>
      <c r="L28" s="48">
        <f>D28+F28+H28+J28</f>
        <v/>
      </c>
      <c r="M28" s="48">
        <f>E28+G28+I28+K28</f>
        <v/>
      </c>
      <c r="N28" s="44" t="n"/>
    </row>
    <row r="29" ht="24.95" customFormat="1" customHeight="1" s="54" thickBot="1">
      <c r="A29" s="50" t="n">
        <v>46258</v>
      </c>
      <c r="B29" s="48" t="n"/>
      <c r="C29" s="48" t="n"/>
      <c r="D29" s="32" t="n"/>
      <c r="E29" s="33" t="n"/>
      <c r="F29" s="32" t="n"/>
      <c r="G29" s="33" t="n"/>
      <c r="H29" s="32" t="n"/>
      <c r="I29" s="33" t="n"/>
      <c r="J29" s="32" t="n"/>
      <c r="K29" s="33" t="n"/>
      <c r="L29" s="48">
        <f>D29+F29+H29+J29</f>
        <v/>
      </c>
      <c r="M29" s="48">
        <f>E29+G29+I29+K29</f>
        <v/>
      </c>
      <c r="N29" s="44" t="n"/>
    </row>
    <row r="30" ht="24.95" customFormat="1" customHeight="1" s="54" thickBot="1">
      <c r="A30" s="50" t="n">
        <v>46259</v>
      </c>
      <c r="B30" s="48" t="n"/>
      <c r="C30" s="48" t="n"/>
      <c r="D30" s="32" t="n"/>
      <c r="E30" s="33" t="n"/>
      <c r="F30" s="32" t="n"/>
      <c r="G30" s="33" t="n"/>
      <c r="H30" s="32" t="n"/>
      <c r="I30" s="33" t="n"/>
      <c r="J30" s="32" t="n"/>
      <c r="K30" s="33" t="n"/>
      <c r="L30" s="48">
        <f>D30+F30+H30+J30</f>
        <v/>
      </c>
      <c r="M30" s="48">
        <f>E30+G30+I30+K30</f>
        <v/>
      </c>
      <c r="N30" s="44" t="n"/>
    </row>
    <row r="31" ht="24.95" customFormat="1" customHeight="1" s="54" thickBot="1">
      <c r="A31" s="50" t="n">
        <v>46260</v>
      </c>
      <c r="B31" s="48" t="n"/>
      <c r="C31" s="48" t="n"/>
      <c r="D31" s="32" t="n"/>
      <c r="E31" s="33" t="n"/>
      <c r="F31" s="32" t="n"/>
      <c r="G31" s="33" t="n"/>
      <c r="H31" s="32" t="n"/>
      <c r="I31" s="33" t="n"/>
      <c r="J31" s="32" t="n"/>
      <c r="K31" s="33" t="n"/>
      <c r="L31" s="48">
        <f>D31+F31+H31+J31</f>
        <v/>
      </c>
      <c r="M31" s="48">
        <f>E31+G31+I31+K31</f>
        <v/>
      </c>
      <c r="N31" s="44" t="n"/>
    </row>
    <row r="32" ht="24.95" customFormat="1" customHeight="1" s="54" thickBot="1">
      <c r="A32" s="50" t="n">
        <v>46261</v>
      </c>
      <c r="B32" s="48" t="n"/>
      <c r="C32" s="48" t="n"/>
      <c r="D32" s="32" t="n"/>
      <c r="E32" s="33" t="n"/>
      <c r="F32" s="32" t="n"/>
      <c r="G32" s="33" t="n"/>
      <c r="H32" s="32" t="n"/>
      <c r="I32" s="33" t="n"/>
      <c r="J32" s="32" t="n"/>
      <c r="K32" s="33" t="n"/>
      <c r="L32" s="48">
        <f>D32+F32+H32+J32</f>
        <v/>
      </c>
      <c r="M32" s="48">
        <f>E32+G32+I32+K32</f>
        <v/>
      </c>
      <c r="N32" s="44" t="n"/>
    </row>
    <row r="33" ht="24.95" customFormat="1" customHeight="1" s="54" thickBot="1">
      <c r="A33" s="50" t="n">
        <v>46262</v>
      </c>
      <c r="B33" s="48" t="n"/>
      <c r="C33" s="48" t="n"/>
      <c r="D33" s="32" t="n"/>
      <c r="E33" s="33" t="n"/>
      <c r="F33" s="32" t="n"/>
      <c r="G33" s="33" t="n"/>
      <c r="H33" s="32" t="n"/>
      <c r="I33" s="33" t="n"/>
      <c r="J33" s="32" t="n"/>
      <c r="K33" s="33" t="n"/>
      <c r="L33" s="48">
        <f>D33+F33+H33+J33</f>
        <v/>
      </c>
      <c r="M33" s="48">
        <f>E33+G33+I33+K33</f>
        <v/>
      </c>
      <c r="N33" s="44" t="n"/>
    </row>
    <row r="34" ht="24.95" customFormat="1" customHeight="1" s="54" thickBot="1">
      <c r="A34" s="50" t="n">
        <v>46263</v>
      </c>
      <c r="B34" s="48" t="n"/>
      <c r="C34" s="48" t="n"/>
      <c r="D34" s="32" t="n"/>
      <c r="E34" s="33" t="n"/>
      <c r="F34" s="32" t="n"/>
      <c r="G34" s="33" t="n"/>
      <c r="H34" s="32" t="n"/>
      <c r="I34" s="33" t="n"/>
      <c r="J34" s="32" t="n"/>
      <c r="K34" s="33" t="n"/>
      <c r="L34" s="48">
        <f>D34+F34+H34+J34</f>
        <v/>
      </c>
      <c r="M34" s="48">
        <f>E34+G34+I34+K34</f>
        <v/>
      </c>
      <c r="N34" s="44" t="n"/>
    </row>
    <row r="35" ht="24.95" customFormat="1" customHeight="1" s="54" thickBot="1">
      <c r="A35" s="50" t="n">
        <v>46264</v>
      </c>
      <c r="B35" s="48" t="n"/>
      <c r="C35" s="48" t="n"/>
      <c r="D35" s="32" t="n"/>
      <c r="E35" s="33" t="n"/>
      <c r="F35" s="32" t="n"/>
      <c r="G35" s="33" t="n"/>
      <c r="H35" s="32" t="n"/>
      <c r="I35" s="33" t="n"/>
      <c r="J35" s="32" t="n"/>
      <c r="K35" s="33" t="n"/>
      <c r="L35" s="48">
        <f>D35+F35+H35+J35</f>
        <v/>
      </c>
      <c r="M35" s="48">
        <f>E35+G35+I35+K35</f>
        <v/>
      </c>
      <c r="N35" s="44" t="n"/>
    </row>
    <row r="36" ht="24.95" customFormat="1" customHeight="1" s="54" thickBot="1">
      <c r="A36" s="50" t="n">
        <v>46265</v>
      </c>
      <c r="B36" s="48" t="n"/>
      <c r="C36" s="48" t="n"/>
      <c r="D36" s="32" t="n"/>
      <c r="E36" s="33" t="n"/>
      <c r="F36" s="32" t="n"/>
      <c r="G36" s="33" t="n"/>
      <c r="H36" s="32" t="n"/>
      <c r="I36" s="33" t="n"/>
      <c r="J36" s="32" t="n"/>
      <c r="K36" s="33" t="n"/>
      <c r="L36" s="48">
        <f>D36+F36+H36+J36</f>
        <v/>
      </c>
      <c r="M36" s="48">
        <f>E36+G36+I36+K36</f>
        <v/>
      </c>
      <c r="N36" s="44" t="n"/>
    </row>
    <row r="37" hidden="1" ht="24.95" customFormat="1" customHeight="1" s="54">
      <c r="A37" s="31" t="n"/>
      <c r="B37" s="48" t="n"/>
      <c r="C37" s="48" t="n"/>
      <c r="D37" s="32" t="n"/>
      <c r="E37" s="33" t="n"/>
      <c r="F37" s="32" t="n"/>
      <c r="G37" s="33" t="n"/>
      <c r="H37" s="32" t="n"/>
      <c r="I37" s="33" t="n"/>
      <c r="J37" s="32" t="n"/>
      <c r="K37" s="33" t="n"/>
      <c r="L37" s="34">
        <f>D37+F37+H37+J37</f>
        <v/>
      </c>
      <c r="M37" s="35">
        <f>E37+G37+I37+K37</f>
        <v/>
      </c>
      <c r="N37" s="44" t="n"/>
    </row>
    <row r="38" hidden="1" ht="24.95" customFormat="1" customHeight="1" s="54">
      <c r="A38" s="31" t="n"/>
      <c r="B38" s="48" t="n"/>
      <c r="C38" s="48" t="n"/>
      <c r="D38" s="32" t="n"/>
      <c r="E38" s="33" t="n"/>
      <c r="F38" s="32" t="n"/>
      <c r="G38" s="33" t="n"/>
      <c r="H38" s="32" t="n"/>
      <c r="I38" s="33" t="n"/>
      <c r="J38" s="32" t="n"/>
      <c r="K38" s="33" t="n"/>
      <c r="L38" s="34">
        <f>D38+F38+H38+J38</f>
        <v/>
      </c>
      <c r="M38" s="35">
        <f>E38+G38+I38+K38</f>
        <v/>
      </c>
      <c r="N38" s="44" t="n"/>
    </row>
    <row r="39" hidden="1" ht="24.95" customFormat="1" customHeight="1" s="54">
      <c r="A39" s="31" t="n"/>
      <c r="B39" s="31" t="n"/>
      <c r="C39" s="31" t="n"/>
      <c r="D39" s="32" t="n"/>
      <c r="E39" s="33" t="n"/>
      <c r="F39" s="32" t="n"/>
      <c r="G39" s="33" t="n"/>
      <c r="H39" s="32" t="n"/>
      <c r="I39" s="33" t="n"/>
      <c r="J39" s="32" t="n"/>
      <c r="K39" s="33" t="n"/>
      <c r="L39" s="34">
        <f>D39+F39+H39+J39</f>
        <v/>
      </c>
      <c r="M39" s="35">
        <f>E39+G39+I39+K39</f>
        <v/>
      </c>
      <c r="N39" s="44" t="n"/>
    </row>
    <row r="40" hidden="1" ht="24.95" customFormat="1" customHeight="1" s="54">
      <c r="A40" s="31" t="n"/>
      <c r="B40" s="31" t="n"/>
      <c r="C40" s="31" t="n"/>
      <c r="D40" s="32" t="n"/>
      <c r="E40" s="33" t="n"/>
      <c r="F40" s="32" t="n"/>
      <c r="G40" s="33" t="n"/>
      <c r="H40" s="32" t="n"/>
      <c r="I40" s="33" t="n"/>
      <c r="J40" s="32" t="n"/>
      <c r="K40" s="33" t="n"/>
      <c r="L40" s="34">
        <f>D40+F40+H40+J40</f>
        <v/>
      </c>
      <c r="M40" s="35">
        <f>E40+G40+I40+K40</f>
        <v/>
      </c>
      <c r="N40" s="44" t="n"/>
    </row>
    <row r="41" hidden="1" ht="24.95" customFormat="1" customHeight="1" s="54">
      <c r="A41" s="31" t="n"/>
      <c r="B41" s="31" t="n"/>
      <c r="C41" s="31" t="n"/>
      <c r="D41" s="32" t="n"/>
      <c r="E41" s="33" t="n"/>
      <c r="F41" s="32" t="n"/>
      <c r="G41" s="33" t="n"/>
      <c r="H41" s="32" t="n"/>
      <c r="I41" s="33" t="n"/>
      <c r="J41" s="32" t="n"/>
      <c r="K41" s="33" t="n"/>
      <c r="L41" s="34">
        <f>D41+F41+H41+J41</f>
        <v/>
      </c>
      <c r="M41" s="35">
        <f>E41+G41+I41+K41</f>
        <v/>
      </c>
      <c r="N41" s="44" t="n"/>
    </row>
    <row r="42" hidden="1" ht="24.95" customFormat="1" customHeight="1" s="54">
      <c r="A42" s="31" t="n"/>
      <c r="B42" s="31" t="n"/>
      <c r="C42" s="31" t="n"/>
      <c r="D42" s="32" t="n"/>
      <c r="E42" s="33" t="n"/>
      <c r="F42" s="32" t="n"/>
      <c r="G42" s="33" t="n"/>
      <c r="H42" s="32" t="n"/>
      <c r="I42" s="33" t="n"/>
      <c r="J42" s="32" t="n"/>
      <c r="K42" s="33" t="n"/>
      <c r="L42" s="34">
        <f>D42+F42+H42+J42</f>
        <v/>
      </c>
      <c r="M42" s="35">
        <f>E42+G42+I42+K42</f>
        <v/>
      </c>
      <c r="N42" s="44" t="n"/>
    </row>
    <row r="43" hidden="1" ht="24.95" customFormat="1" customHeight="1" s="54">
      <c r="A43" s="31" t="n"/>
      <c r="B43" s="31" t="n"/>
      <c r="C43" s="31" t="n"/>
      <c r="D43" s="32" t="n"/>
      <c r="E43" s="33" t="n"/>
      <c r="F43" s="32" t="n"/>
      <c r="G43" s="33" t="n"/>
      <c r="H43" s="32" t="n"/>
      <c r="I43" s="33" t="n"/>
      <c r="J43" s="32" t="n"/>
      <c r="K43" s="33" t="n"/>
      <c r="L43" s="34">
        <f>D43+F43+H43+J43</f>
        <v/>
      </c>
      <c r="M43" s="35">
        <f>E43+G43+I43+K43</f>
        <v/>
      </c>
      <c r="N43" s="44" t="n"/>
    </row>
    <row r="44" hidden="1" ht="24.95" customFormat="1" customHeight="1" s="54">
      <c r="A44" s="31" t="n"/>
      <c r="B44" s="31" t="n"/>
      <c r="C44" s="31" t="n"/>
      <c r="D44" s="32" t="n"/>
      <c r="E44" s="33" t="n"/>
      <c r="F44" s="32" t="n"/>
      <c r="G44" s="33" t="n"/>
      <c r="H44" s="32" t="n"/>
      <c r="I44" s="33" t="n"/>
      <c r="J44" s="32" t="n"/>
      <c r="K44" s="33" t="n"/>
      <c r="L44" s="34">
        <f>D44+F44+H44+J44</f>
        <v/>
      </c>
      <c r="M44" s="35">
        <f>E44+G44+I44+K44</f>
        <v/>
      </c>
      <c r="N44" s="44" t="n"/>
    </row>
    <row r="45" hidden="1" ht="24.95" customFormat="1" customHeight="1" s="54">
      <c r="A45" s="31" t="n"/>
      <c r="B45" s="31" t="n"/>
      <c r="C45" s="31" t="n"/>
      <c r="D45" s="32" t="n"/>
      <c r="E45" s="33" t="n"/>
      <c r="F45" s="32" t="n"/>
      <c r="G45" s="33" t="n"/>
      <c r="H45" s="32" t="n"/>
      <c r="I45" s="33" t="n"/>
      <c r="J45" s="32" t="n"/>
      <c r="K45" s="33" t="n"/>
      <c r="L45" s="34">
        <f>D45+F45+H45+J45</f>
        <v/>
      </c>
      <c r="M45" s="35">
        <f>E45+G45+I45+K45</f>
        <v/>
      </c>
      <c r="N45" s="44" t="n"/>
    </row>
    <row r="46" hidden="1" ht="24.95" customFormat="1" customHeight="1" s="54">
      <c r="A46" s="31" t="n"/>
      <c r="B46" s="31" t="n"/>
      <c r="C46" s="31" t="n"/>
      <c r="D46" s="32" t="n"/>
      <c r="E46" s="33" t="n"/>
      <c r="F46" s="32" t="n"/>
      <c r="G46" s="33" t="n"/>
      <c r="H46" s="32" t="n"/>
      <c r="I46" s="33" t="n"/>
      <c r="J46" s="32" t="n"/>
      <c r="K46" s="33" t="n"/>
      <c r="L46" s="34">
        <f>D46+F46+H46+J46</f>
        <v/>
      </c>
      <c r="M46" s="35">
        <f>E46+G46+I46+K46</f>
        <v/>
      </c>
      <c r="N46" s="44" t="n"/>
    </row>
    <row r="47" hidden="1" ht="24.95" customFormat="1" customHeight="1" s="54">
      <c r="A47" s="31" t="n"/>
      <c r="B47" s="31" t="n"/>
      <c r="C47" s="31" t="n"/>
      <c r="D47" s="32" t="n"/>
      <c r="E47" s="33" t="n"/>
      <c r="F47" s="32" t="n"/>
      <c r="G47" s="33" t="n"/>
      <c r="H47" s="32" t="n"/>
      <c r="I47" s="33" t="n"/>
      <c r="J47" s="32" t="n"/>
      <c r="K47" s="33" t="n"/>
      <c r="L47" s="34">
        <f>D47+F47+H47+J47</f>
        <v/>
      </c>
      <c r="M47" s="35">
        <f>E47+G47+I47+K47</f>
        <v/>
      </c>
      <c r="N47" s="44" t="n"/>
    </row>
    <row r="48" hidden="1" ht="24.95" customFormat="1" customHeight="1" s="54">
      <c r="A48" s="31" t="n"/>
      <c r="B48" s="31" t="n"/>
      <c r="C48" s="31" t="n"/>
      <c r="D48" s="32" t="n"/>
      <c r="E48" s="33" t="n"/>
      <c r="F48" s="32" t="n"/>
      <c r="G48" s="33" t="n"/>
      <c r="H48" s="32" t="n"/>
      <c r="I48" s="33" t="n"/>
      <c r="J48" s="32" t="n"/>
      <c r="K48" s="33" t="n"/>
      <c r="L48" s="34">
        <f>D48+F48+H48+J48</f>
        <v/>
      </c>
      <c r="M48" s="35">
        <f>E48+G48+I48+K48</f>
        <v/>
      </c>
      <c r="N48" s="44" t="n"/>
    </row>
    <row r="49" hidden="1" ht="24.95" customFormat="1" customHeight="1" s="54">
      <c r="A49" s="31" t="n"/>
      <c r="B49" s="31" t="n"/>
      <c r="C49" s="31" t="n"/>
      <c r="D49" s="32" t="n"/>
      <c r="E49" s="33" t="n"/>
      <c r="F49" s="32" t="n"/>
      <c r="G49" s="33" t="n"/>
      <c r="H49" s="32" t="n"/>
      <c r="I49" s="33" t="n"/>
      <c r="J49" s="32" t="n"/>
      <c r="K49" s="33" t="n"/>
      <c r="L49" s="34">
        <f>D49+F49+H49+J49</f>
        <v/>
      </c>
      <c r="M49" s="35">
        <f>E49+G49+I49+K49</f>
        <v/>
      </c>
      <c r="N49" s="44" t="n"/>
    </row>
    <row r="50" hidden="1" ht="24.95" customFormat="1" customHeight="1" s="54">
      <c r="A50" s="31" t="n"/>
      <c r="B50" s="31" t="n"/>
      <c r="C50" s="31" t="n"/>
      <c r="D50" s="32" t="n"/>
      <c r="E50" s="33" t="n"/>
      <c r="F50" s="32" t="n"/>
      <c r="G50" s="33" t="n"/>
      <c r="H50" s="32" t="n"/>
      <c r="I50" s="33" t="n"/>
      <c r="J50" s="32" t="n"/>
      <c r="K50" s="33" t="n"/>
      <c r="L50" s="34">
        <f>D50+F50+H50+J50</f>
        <v/>
      </c>
      <c r="M50" s="35">
        <f>E50+G50+I50+K50</f>
        <v/>
      </c>
      <c r="N50" s="44" t="n"/>
    </row>
    <row r="51" hidden="1" ht="24.95" customFormat="1" customHeight="1" s="54">
      <c r="A51" s="31" t="n"/>
      <c r="B51" s="31" t="n"/>
      <c r="C51" s="31" t="n"/>
      <c r="D51" s="32" t="n"/>
      <c r="E51" s="33" t="n"/>
      <c r="F51" s="32" t="n"/>
      <c r="G51" s="33" t="n"/>
      <c r="H51" s="32" t="n"/>
      <c r="I51" s="33" t="n"/>
      <c r="J51" s="32" t="n"/>
      <c r="K51" s="33" t="n"/>
      <c r="L51" s="34">
        <f>D51+F51+H51+J51</f>
        <v/>
      </c>
      <c r="M51" s="35">
        <f>E51+G51+I51+K51</f>
        <v/>
      </c>
      <c r="N51" s="44" t="n"/>
    </row>
    <row r="52" hidden="1" ht="24.95" customFormat="1" customHeight="1" s="54">
      <c r="A52" s="31" t="n"/>
      <c r="B52" s="31" t="n"/>
      <c r="C52" s="31" t="n"/>
      <c r="D52" s="32" t="n"/>
      <c r="E52" s="33" t="n"/>
      <c r="F52" s="32" t="n"/>
      <c r="G52" s="33" t="n"/>
      <c r="H52" s="32" t="n"/>
      <c r="I52" s="33" t="n"/>
      <c r="J52" s="32" t="n"/>
      <c r="K52" s="33" t="n"/>
      <c r="L52" s="34">
        <f>D52+F52+H52+J52</f>
        <v/>
      </c>
      <c r="M52" s="35">
        <f>E52+G52+I52+K52</f>
        <v/>
      </c>
      <c r="N52" s="44" t="n"/>
    </row>
    <row r="53" hidden="1" ht="24.95" customFormat="1" customHeight="1" s="54">
      <c r="A53" s="31" t="n"/>
      <c r="B53" s="31" t="n"/>
      <c r="C53" s="31" t="n"/>
      <c r="D53" s="32" t="n"/>
      <c r="E53" s="33" t="n"/>
      <c r="F53" s="32" t="n"/>
      <c r="G53" s="33" t="n"/>
      <c r="H53" s="32" t="n"/>
      <c r="I53" s="33" t="n"/>
      <c r="J53" s="32" t="n"/>
      <c r="K53" s="33" t="n"/>
      <c r="L53" s="34">
        <f>D53+F53+H53+J53</f>
        <v/>
      </c>
      <c r="M53" s="35">
        <f>E53+G53+I53+K53</f>
        <v/>
      </c>
      <c r="N53" s="44" t="n"/>
    </row>
    <row r="54" hidden="1" ht="24.95" customFormat="1" customHeight="1" s="54">
      <c r="A54" s="31" t="n"/>
      <c r="B54" s="31" t="n"/>
      <c r="C54" s="31" t="n"/>
      <c r="D54" s="32" t="n"/>
      <c r="E54" s="33" t="n"/>
      <c r="F54" s="32" t="n"/>
      <c r="G54" s="33" t="n"/>
      <c r="H54" s="32" t="n"/>
      <c r="I54" s="33" t="n"/>
      <c r="J54" s="32" t="n"/>
      <c r="K54" s="33" t="n"/>
      <c r="L54" s="34">
        <f>D54+F54+H54+J54</f>
        <v/>
      </c>
      <c r="M54" s="35">
        <f>E54+G54+I54+K54</f>
        <v/>
      </c>
      <c r="N54" s="44" t="n"/>
    </row>
    <row r="55" hidden="1" ht="24.95" customFormat="1" customHeight="1" s="54">
      <c r="A55" s="31" t="n"/>
      <c r="B55" s="31" t="n"/>
      <c r="C55" s="31" t="n"/>
      <c r="D55" s="32" t="n"/>
      <c r="E55" s="33" t="n"/>
      <c r="F55" s="32" t="n"/>
      <c r="G55" s="33" t="n"/>
      <c r="H55" s="32" t="n"/>
      <c r="I55" s="33" t="n"/>
      <c r="J55" s="32" t="n"/>
      <c r="K55" s="33" t="n"/>
      <c r="L55" s="34">
        <f>D55+F55+H55+J55</f>
        <v/>
      </c>
      <c r="M55" s="35">
        <f>E55+G55+I55+K55</f>
        <v/>
      </c>
      <c r="N55" s="44" t="n"/>
    </row>
    <row r="56" hidden="1" ht="24.95" customFormat="1" customHeight="1" s="54">
      <c r="A56" s="31" t="n"/>
      <c r="B56" s="31" t="n"/>
      <c r="C56" s="31" t="n"/>
      <c r="D56" s="32" t="n"/>
      <c r="E56" s="33" t="n"/>
      <c r="F56" s="32" t="n"/>
      <c r="G56" s="33" t="n"/>
      <c r="H56" s="32" t="n"/>
      <c r="I56" s="33" t="n"/>
      <c r="J56" s="32" t="n"/>
      <c r="K56" s="33" t="n"/>
      <c r="L56" s="34">
        <f>D56+F56+H56+J56</f>
        <v/>
      </c>
      <c r="M56" s="35">
        <f>E56+G56+I56+K56</f>
        <v/>
      </c>
      <c r="N56" s="44" t="n"/>
    </row>
    <row r="57" hidden="1" ht="24.95" customFormat="1" customHeight="1" s="54">
      <c r="A57" s="31" t="n"/>
      <c r="B57" s="31" t="n"/>
      <c r="C57" s="31" t="n"/>
      <c r="D57" s="32" t="n"/>
      <c r="E57" s="33" t="n"/>
      <c r="F57" s="32" t="n"/>
      <c r="G57" s="33" t="n"/>
      <c r="H57" s="32" t="n"/>
      <c r="I57" s="33" t="n"/>
      <c r="J57" s="32" t="n"/>
      <c r="K57" s="33" t="n"/>
      <c r="L57" s="34">
        <f>D57+F57+H57+J57</f>
        <v/>
      </c>
      <c r="M57" s="35">
        <f>E57+G57+I57+K57</f>
        <v/>
      </c>
      <c r="N57" s="44" t="n"/>
    </row>
    <row r="58" hidden="1" ht="24.95" customFormat="1" customHeight="1" s="54">
      <c r="A58" s="31" t="n"/>
      <c r="B58" s="31" t="n"/>
      <c r="C58" s="31" t="n"/>
      <c r="D58" s="32" t="n"/>
      <c r="E58" s="33" t="n"/>
      <c r="F58" s="32" t="n"/>
      <c r="G58" s="33" t="n"/>
      <c r="H58" s="32" t="n"/>
      <c r="I58" s="33" t="n"/>
      <c r="J58" s="32" t="n"/>
      <c r="K58" s="33" t="n"/>
      <c r="L58" s="34">
        <f>D58+F58+H58+J58</f>
        <v/>
      </c>
      <c r="M58" s="35">
        <f>E58+G58+I58+K58</f>
        <v/>
      </c>
      <c r="N58" s="44" t="n"/>
    </row>
    <row r="59" hidden="1" ht="24.95" customFormat="1" customHeight="1" s="54">
      <c r="A59" s="31" t="n"/>
      <c r="B59" s="31" t="n"/>
      <c r="C59" s="31" t="n"/>
      <c r="D59" s="32" t="n"/>
      <c r="E59" s="33" t="n"/>
      <c r="F59" s="32" t="n"/>
      <c r="G59" s="33" t="n"/>
      <c r="H59" s="32" t="n"/>
      <c r="I59" s="33" t="n"/>
      <c r="J59" s="32" t="n"/>
      <c r="K59" s="33" t="n"/>
      <c r="L59" s="34">
        <f>D59+F59+H59+J59</f>
        <v/>
      </c>
      <c r="M59" s="35">
        <f>E59+G59+I59+K59</f>
        <v/>
      </c>
      <c r="N59" s="44" t="n"/>
    </row>
    <row r="60" hidden="1" ht="24.95" customFormat="1" customHeight="1" s="54">
      <c r="A60" s="31" t="n"/>
      <c r="B60" s="31" t="n"/>
      <c r="C60" s="31" t="n"/>
      <c r="D60" s="32" t="n"/>
      <c r="E60" s="33" t="n"/>
      <c r="F60" s="32" t="n"/>
      <c r="G60" s="33" t="n"/>
      <c r="H60" s="32" t="n"/>
      <c r="I60" s="33" t="n"/>
      <c r="J60" s="32" t="n"/>
      <c r="K60" s="33" t="n"/>
      <c r="L60" s="34">
        <f>D60+F60+H60+J60</f>
        <v/>
      </c>
      <c r="M60" s="35">
        <f>E60+G60+I60+K60</f>
        <v/>
      </c>
      <c r="N60" s="44" t="n"/>
    </row>
    <row r="61" hidden="1" ht="24.95" customFormat="1" customHeight="1" s="54">
      <c r="A61" s="31" t="n"/>
      <c r="B61" s="31" t="n"/>
      <c r="C61" s="31" t="n"/>
      <c r="D61" s="32" t="n"/>
      <c r="E61" s="33" t="n"/>
      <c r="F61" s="32" t="n"/>
      <c r="G61" s="33" t="n"/>
      <c r="H61" s="32" t="n"/>
      <c r="I61" s="33" t="n"/>
      <c r="J61" s="32" t="n"/>
      <c r="K61" s="33" t="n"/>
      <c r="L61" s="34">
        <f>D61+F61+H61+J61</f>
        <v/>
      </c>
      <c r="M61" s="35">
        <f>E61+G61+I61+K61</f>
        <v/>
      </c>
      <c r="N61" s="44" t="n"/>
    </row>
    <row r="62" hidden="1" ht="24.95" customFormat="1" customHeight="1" s="54">
      <c r="A62" s="31" t="n"/>
      <c r="B62" s="31" t="n"/>
      <c r="C62" s="31" t="n"/>
      <c r="D62" s="32" t="n"/>
      <c r="E62" s="33" t="n"/>
      <c r="F62" s="32" t="n"/>
      <c r="G62" s="33" t="n"/>
      <c r="H62" s="32" t="n"/>
      <c r="I62" s="33" t="n"/>
      <c r="J62" s="32" t="n"/>
      <c r="K62" s="33" t="n"/>
      <c r="L62" s="34">
        <f>D62+F62+H62+J62</f>
        <v/>
      </c>
      <c r="M62" s="35">
        <f>E62+G62+I62+K62</f>
        <v/>
      </c>
      <c r="N62" s="44" t="n"/>
    </row>
    <row r="63" hidden="1" ht="24.95" customFormat="1" customHeight="1" s="54">
      <c r="A63" s="31" t="n"/>
      <c r="B63" s="31" t="n"/>
      <c r="C63" s="31" t="n"/>
      <c r="D63" s="32" t="n"/>
      <c r="E63" s="33" t="n"/>
      <c r="F63" s="32" t="n"/>
      <c r="G63" s="33" t="n"/>
      <c r="H63" s="32" t="n"/>
      <c r="I63" s="33" t="n"/>
      <c r="J63" s="32" t="n"/>
      <c r="K63" s="33" t="n"/>
      <c r="L63" s="34">
        <f>D63+F63+H63+J63</f>
        <v/>
      </c>
      <c r="M63" s="35">
        <f>E63+G63+I63+K63</f>
        <v/>
      </c>
      <c r="N63" s="44" t="n"/>
    </row>
    <row r="64" hidden="1" ht="24.95" customFormat="1" customHeight="1" s="54">
      <c r="A64" s="31" t="n"/>
      <c r="B64" s="31" t="n"/>
      <c r="C64" s="31" t="n"/>
      <c r="D64" s="32" t="n"/>
      <c r="E64" s="33" t="n"/>
      <c r="F64" s="32" t="n"/>
      <c r="G64" s="33" t="n"/>
      <c r="H64" s="32" t="n"/>
      <c r="I64" s="33" t="n"/>
      <c r="J64" s="32" t="n"/>
      <c r="K64" s="33" t="n"/>
      <c r="L64" s="34">
        <f>D64+F64+H64+J64</f>
        <v/>
      </c>
      <c r="M64" s="35">
        <f>E64+G64+I64+K64</f>
        <v/>
      </c>
      <c r="N64" s="44" t="n"/>
    </row>
    <row r="65" hidden="1" ht="24.95" customFormat="1" customHeight="1" s="54">
      <c r="A65" s="31" t="n"/>
      <c r="B65" s="31" t="n"/>
      <c r="C65" s="31" t="n"/>
      <c r="D65" s="32" t="n"/>
      <c r="E65" s="33" t="n"/>
      <c r="F65" s="32" t="n"/>
      <c r="G65" s="33" t="n"/>
      <c r="H65" s="32" t="n"/>
      <c r="I65" s="33" t="n"/>
      <c r="J65" s="32" t="n"/>
      <c r="K65" s="33" t="n"/>
      <c r="L65" s="34">
        <f>D65+F65+H65+J65</f>
        <v/>
      </c>
      <c r="M65" s="35">
        <f>E65+G65+I65+K65</f>
        <v/>
      </c>
      <c r="N65" s="44" t="n"/>
    </row>
    <row r="66" hidden="1" ht="24.95" customFormat="1" customHeight="1" s="54">
      <c r="A66" s="31" t="n"/>
      <c r="B66" s="31" t="n"/>
      <c r="C66" s="31" t="n"/>
      <c r="D66" s="32" t="n"/>
      <c r="E66" s="33" t="n"/>
      <c r="F66" s="32" t="n"/>
      <c r="G66" s="33" t="n"/>
      <c r="H66" s="32" t="n"/>
      <c r="I66" s="33" t="n"/>
      <c r="J66" s="32" t="n"/>
      <c r="K66" s="33" t="n"/>
      <c r="L66" s="34">
        <f>D66+F66+H66+J66</f>
        <v/>
      </c>
      <c r="M66" s="35">
        <f>E66+G66+I66+K66</f>
        <v/>
      </c>
      <c r="N66" s="44" t="n"/>
    </row>
    <row r="67" hidden="1" ht="24.95" customFormat="1" customHeight="1" s="54">
      <c r="A67" s="31" t="n"/>
      <c r="B67" s="31" t="n"/>
      <c r="C67" s="31" t="n"/>
      <c r="D67" s="32" t="n"/>
      <c r="E67" s="33" t="n"/>
      <c r="F67" s="32" t="n"/>
      <c r="G67" s="33" t="n"/>
      <c r="H67" s="32" t="n"/>
      <c r="I67" s="33" t="n"/>
      <c r="J67" s="32" t="n"/>
      <c r="K67" s="33" t="n"/>
      <c r="L67" s="34">
        <f>D67+F67+H67+J67</f>
        <v/>
      </c>
      <c r="M67" s="35">
        <f>E67+G67+I67+K67</f>
        <v/>
      </c>
      <c r="N67" s="44" t="n"/>
    </row>
    <row r="68" ht="15" customHeight="1" s="43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</row>
    <row r="69" ht="15" customHeight="1" s="43">
      <c r="A69" s="25" t="inlineStr">
        <is>
          <t>Legend:</t>
        </is>
      </c>
      <c r="B69" s="25" t="n"/>
      <c r="C69" s="25" t="n"/>
      <c r="D69" s="26" t="inlineStr">
        <is>
          <t>Blue text = cells to fill in daily; Total columns auto-calculate</t>
        </is>
      </c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</row>
    <row r="70" ht="15" customHeight="1" s="43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23" t="n"/>
    </row>
    <row r="71" ht="15" customHeight="1" s="43">
      <c r="A71" s="38" t="inlineStr">
        <is>
          <t>MONTH TOTAL</t>
        </is>
      </c>
      <c r="B71" s="38" t="n"/>
      <c r="C71" s="38" t="n"/>
      <c r="D71" s="39">
        <f>SUM(D6:D67)</f>
        <v/>
      </c>
      <c r="E71" s="40">
        <f>SUM(E6:E67)</f>
        <v/>
      </c>
      <c r="F71" s="39">
        <f>SUM(F6:F67)</f>
        <v/>
      </c>
      <c r="G71" s="40">
        <f>SUM(G6:G67)</f>
        <v/>
      </c>
      <c r="H71" s="39">
        <f>SUM(H6:H67)</f>
        <v/>
      </c>
      <c r="I71" s="40">
        <f>SUM(I6:I67)</f>
        <v/>
      </c>
      <c r="J71" s="39">
        <f>SUM(J6:J67)</f>
        <v/>
      </c>
      <c r="K71" s="40">
        <f>SUM(K6:K67)</f>
        <v/>
      </c>
      <c r="L71" s="39">
        <f>SUM(L6:L67)</f>
        <v/>
      </c>
      <c r="M71" s="40">
        <f>SUM(M6:M67)</f>
        <v/>
      </c>
      <c r="N71" s="23" t="n"/>
    </row>
    <row r="72" ht="15.75" customHeight="1" s="43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</row>
    <row r="73" ht="48.75" customHeight="1" s="4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</row>
    <row r="74" ht="15" customHeight="1" s="43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</row>
    <row r="75" ht="15" customHeight="1" s="43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</row>
    <row r="76" ht="15" customHeight="1" s="43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</row>
    <row r="77" ht="15" customHeight="1" s="43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</row>
    <row r="78" ht="15" customHeight="1" s="43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</row>
    <row r="79" ht="15" customHeight="1" s="43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</row>
    <row r="80" ht="15" customHeight="1" s="43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</row>
  </sheetData>
  <mergeCells count="10">
    <mergeCell ref="F4:G4"/>
    <mergeCell ref="J4:K4"/>
    <mergeCell ref="M4:M5"/>
    <mergeCell ref="A1:M1"/>
    <mergeCell ref="A4:A5"/>
    <mergeCell ref="L4:L5"/>
    <mergeCell ref="D4:E4"/>
    <mergeCell ref="H4:I4"/>
    <mergeCell ref="A2:M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95"/>
  <sheetViews>
    <sheetView showGridLines="0" zoomScale="115" zoomScaleNormal="115" workbookViewId="0">
      <selection activeCell="B3" sqref="B3"/>
    </sheetView>
  </sheetViews>
  <sheetFormatPr baseColWidth="8" defaultColWidth="8.7109375" defaultRowHeight="15"/>
  <cols>
    <col width="18.42578125" customWidth="1" style="43" min="1" max="1"/>
    <col width="11" customWidth="1" style="43" min="2" max="9"/>
    <col width="11" customWidth="1" style="43" min="10" max="11"/>
    <col width="8.7109375" customWidth="1" style="43" min="12" max="66"/>
  </cols>
  <sheetData>
    <row r="1" ht="25.5" customHeight="1" s="43">
      <c r="A1" s="88" t="inlineStr">
        <is>
          <t>Sample Feeds &amp; Co.  |  Raw Material (RM) Receipt Log</t>
        </is>
      </c>
      <c r="L1" s="23" t="n"/>
    </row>
    <row r="2" ht="18" customHeight="1" s="43">
      <c r="A2" s="89" t="inlineStr">
        <is>
          <t>One row per day — vehicles and tons received, company-wise.</t>
        </is>
      </c>
      <c r="L2" s="23" t="n"/>
    </row>
    <row r="3" ht="15" customHeight="1" s="43">
      <c r="A3" s="36" t="inlineStr">
        <is>
          <t>Total Brand A RM Mt=</t>
        </is>
      </c>
      <c r="B3" s="104">
        <f>C71</f>
        <v/>
      </c>
      <c r="C3" s="10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</row>
    <row r="4" ht="15.75" customHeight="1" s="43">
      <c r="A4" s="102" t="inlineStr">
        <is>
          <t>Date</t>
        </is>
      </c>
      <c r="B4" s="102" t="inlineStr">
        <is>
          <t>Brand A</t>
        </is>
      </c>
      <c r="D4" s="102" t="inlineStr">
        <is>
          <t>Brand B</t>
        </is>
      </c>
      <c r="F4" s="102" t="inlineStr">
        <is>
          <t>Brand C</t>
        </is>
      </c>
      <c r="H4" s="102" t="inlineStr">
        <is>
          <t>Others</t>
        </is>
      </c>
      <c r="J4" s="102" t="inlineStr">
        <is>
          <t>Total
Vehicles</t>
        </is>
      </c>
      <c r="K4" s="102" t="inlineStr">
        <is>
          <t>Total Received
(MT)</t>
        </is>
      </c>
      <c r="L4" s="23" t="n"/>
    </row>
    <row r="5" ht="27.75" customHeight="1" s="43" thickBot="1">
      <c r="B5" s="102" t="inlineStr">
        <is>
          <t>Vehicles</t>
        </is>
      </c>
      <c r="C5" s="102" t="inlineStr">
        <is>
          <t>Received
(MT)</t>
        </is>
      </c>
      <c r="D5" s="102" t="inlineStr">
        <is>
          <t>Vehicles</t>
        </is>
      </c>
      <c r="E5" s="102" t="inlineStr">
        <is>
          <t>Received
(MT)</t>
        </is>
      </c>
      <c r="F5" s="102" t="inlineStr">
        <is>
          <t>Vehicles</t>
        </is>
      </c>
      <c r="G5" s="102" t="inlineStr">
        <is>
          <t>Received
(MT)</t>
        </is>
      </c>
      <c r="H5" s="102" t="inlineStr">
        <is>
          <t>Vehicles</t>
        </is>
      </c>
      <c r="I5" s="102" t="inlineStr">
        <is>
          <t>Received
(MT)</t>
        </is>
      </c>
      <c r="L5" s="23" t="n"/>
    </row>
    <row r="6" ht="24.95" customFormat="1" customHeight="1" s="54" thickBot="1">
      <c r="A6" s="50" t="n">
        <v>46235</v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>
        <f>B6+D6+F6+H6</f>
        <v/>
      </c>
      <c r="K6" s="48">
        <f>C6+E6+G6+I6</f>
        <v/>
      </c>
      <c r="L6" s="23" t="n"/>
    </row>
    <row r="7" ht="24.95" customFormat="1" customHeight="1" s="54" thickBot="1">
      <c r="A7" s="50" t="n">
        <v>46236</v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>
        <f>B7+D7+F7+H7</f>
        <v/>
      </c>
      <c r="K7" s="48">
        <f>C7+E7+G7+I7</f>
        <v/>
      </c>
      <c r="L7" s="23" t="n"/>
    </row>
    <row r="8" ht="24.95" customFormat="1" customHeight="1" s="54" thickBot="1">
      <c r="A8" s="50" t="n">
        <v>46237</v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>
        <f>B8+D8+F8+H8</f>
        <v/>
      </c>
      <c r="K8" s="48">
        <f>C8+E8+G8+I8</f>
        <v/>
      </c>
      <c r="L8" s="23" t="n"/>
    </row>
    <row r="9" ht="24.95" customFormat="1" customHeight="1" s="54" thickBot="1">
      <c r="A9" s="50" t="n">
        <v>46238</v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>
        <f>B9+D9+F9+H9</f>
        <v/>
      </c>
      <c r="K9" s="48">
        <f>C9+E9+G9+I9</f>
        <v/>
      </c>
      <c r="L9" s="23" t="n"/>
    </row>
    <row r="10" ht="24.95" customFormat="1" customHeight="1" s="54" thickBot="1">
      <c r="A10" s="50" t="n">
        <v>46239</v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>
        <f>B10+D10+F10+H10</f>
        <v/>
      </c>
      <c r="K10" s="48">
        <f>C10+E10+G10+I10</f>
        <v/>
      </c>
      <c r="L10" s="23" t="n"/>
    </row>
    <row r="11" ht="24.95" customFormat="1" customHeight="1" s="54" thickBot="1">
      <c r="A11" s="50" t="n">
        <v>46240</v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>
        <f>B11+D11+F11+H11</f>
        <v/>
      </c>
      <c r="K11" s="48">
        <f>C11+E11+G11+I11</f>
        <v/>
      </c>
      <c r="L11" s="23" t="n"/>
    </row>
    <row r="12" ht="24.95" customFormat="1" customHeight="1" s="54" thickBot="1">
      <c r="A12" s="50" t="n">
        <v>46241</v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>
        <f>B12+D12+F12+H12</f>
        <v/>
      </c>
      <c r="K12" s="48">
        <f>C12+E12+G12+I12</f>
        <v/>
      </c>
      <c r="L12" s="23" t="n"/>
    </row>
    <row r="13" ht="24.95" customFormat="1" customHeight="1" s="54" thickBot="1">
      <c r="A13" s="50" t="n">
        <v>46242</v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>
        <f>B13+D13+F13+H13</f>
        <v/>
      </c>
      <c r="K13" s="48">
        <f>C13+E13+G13+I13</f>
        <v/>
      </c>
      <c r="L13" s="23" t="n"/>
    </row>
    <row r="14" ht="24.95" customFormat="1" customHeight="1" s="54" thickBot="1">
      <c r="A14" s="50" t="n">
        <v>46243</v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>
        <f>B14+D14+F14+H14</f>
        <v/>
      </c>
      <c r="K14" s="48">
        <f>C14+E14+G14+I14</f>
        <v/>
      </c>
      <c r="L14" s="23" t="n"/>
    </row>
    <row r="15" ht="24.95" customFormat="1" customHeight="1" s="54" thickBot="1">
      <c r="A15" s="50" t="n">
        <v>46244</v>
      </c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>
        <f>B15+D15+F15+H15</f>
        <v/>
      </c>
      <c r="K15" s="48">
        <f>C15+E15+G15+I15</f>
        <v/>
      </c>
      <c r="L15" s="23" t="n"/>
    </row>
    <row r="16" ht="24.95" customFormat="1" customHeight="1" s="54" thickBot="1">
      <c r="A16" s="50" t="n">
        <v>46245</v>
      </c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>
        <f>B16+D16+F16+H16</f>
        <v/>
      </c>
      <c r="K16" s="48">
        <f>C16+E16+G16+I16</f>
        <v/>
      </c>
      <c r="L16" s="23" t="n"/>
    </row>
    <row r="17" ht="24.95" customFormat="1" customHeight="1" s="54" thickBot="1">
      <c r="A17" s="50" t="n">
        <v>46246</v>
      </c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>
        <f>B17+D17+F17+H17</f>
        <v/>
      </c>
      <c r="K17" s="48">
        <f>C17+E17+G17+I17</f>
        <v/>
      </c>
      <c r="L17" s="23" t="n"/>
    </row>
    <row r="18" ht="24.95" customFormat="1" customHeight="1" s="54" thickBot="1">
      <c r="A18" s="50" t="n">
        <v>46247</v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>
        <f>B18+D18+F18+H18</f>
        <v/>
      </c>
      <c r="K18" s="48">
        <f>C18+E18+G18+I18</f>
        <v/>
      </c>
      <c r="L18" s="23" t="n"/>
    </row>
    <row r="19" ht="24.95" customFormat="1" customHeight="1" s="54" thickBot="1">
      <c r="A19" s="50" t="n">
        <v>46248</v>
      </c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>
        <f>B19+D19+F19+H19</f>
        <v/>
      </c>
      <c r="K19" s="48">
        <f>C19+E19+G19+I19</f>
        <v/>
      </c>
      <c r="L19" s="23" t="n"/>
    </row>
    <row r="20" ht="24.95" customFormat="1" customHeight="1" s="54" thickBot="1">
      <c r="A20" s="50" t="n">
        <v>46249</v>
      </c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>
        <f>B20+D20+F20+H20</f>
        <v/>
      </c>
      <c r="K20" s="48">
        <f>C20+E20+G20+I20</f>
        <v/>
      </c>
      <c r="L20" s="23" t="n"/>
    </row>
    <row r="21" ht="24.95" customFormat="1" customHeight="1" s="54" thickBot="1">
      <c r="A21" s="50" t="n">
        <v>46250</v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>
        <f>B21+D21+F21+H21</f>
        <v/>
      </c>
      <c r="K21" s="48">
        <f>C21+E21+G21+I21</f>
        <v/>
      </c>
      <c r="L21" s="23" t="n"/>
    </row>
    <row r="22" ht="24.95" customFormat="1" customHeight="1" s="54" thickBot="1">
      <c r="A22" s="50" t="n">
        <v>46251</v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>
        <f>B22+D22+F22+H22</f>
        <v/>
      </c>
      <c r="K22" s="48">
        <f>C22+E22+G22+I22</f>
        <v/>
      </c>
      <c r="L22" s="23" t="n"/>
    </row>
    <row r="23" ht="24.95" customFormat="1" customHeight="1" s="54" thickBot="1">
      <c r="A23" s="50" t="n">
        <v>46252</v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>
        <f>B23+D23+F23+H23</f>
        <v/>
      </c>
      <c r="K23" s="48">
        <f>C23+E23+G23+I23</f>
        <v/>
      </c>
      <c r="L23" s="23" t="n"/>
    </row>
    <row r="24" ht="24.95" customFormat="1" customHeight="1" s="54" thickBot="1">
      <c r="A24" s="50" t="n">
        <v>46253</v>
      </c>
      <c r="B24" s="46" t="n"/>
      <c r="C24" s="48" t="n"/>
      <c r="D24" s="48" t="n"/>
      <c r="E24" s="48" t="n"/>
      <c r="F24" s="46" t="n"/>
      <c r="G24" s="47" t="n"/>
      <c r="H24" s="46" t="n"/>
      <c r="I24" s="47" t="n"/>
      <c r="J24" s="48">
        <f>B24+D24+F24+H24</f>
        <v/>
      </c>
      <c r="K24" s="48">
        <f>C24+E24+G24+I24</f>
        <v/>
      </c>
      <c r="L24" s="23" t="n"/>
    </row>
    <row r="25" ht="24.95" customFormat="1" customHeight="1" s="54" thickBot="1">
      <c r="A25" s="50" t="n">
        <v>46254</v>
      </c>
      <c r="B25" s="32" t="n"/>
      <c r="C25" s="48" t="n"/>
      <c r="D25" s="48" t="n"/>
      <c r="E25" s="48" t="n"/>
      <c r="F25" s="32" t="n"/>
      <c r="G25" s="33" t="n"/>
      <c r="H25" s="32" t="n"/>
      <c r="I25" s="33" t="n"/>
      <c r="J25" s="48">
        <f>B25+D25+F25+H25</f>
        <v/>
      </c>
      <c r="K25" s="48">
        <f>C25+E25+G25+I25</f>
        <v/>
      </c>
      <c r="L25" s="23" t="n"/>
    </row>
    <row r="26" ht="24.95" customFormat="1" customHeight="1" s="54" thickBot="1">
      <c r="A26" s="50" t="n">
        <v>46255</v>
      </c>
      <c r="B26" s="32" t="n"/>
      <c r="C26" s="48" t="n"/>
      <c r="D26" s="48" t="n"/>
      <c r="E26" s="48" t="n"/>
      <c r="F26" s="32" t="n"/>
      <c r="G26" s="33" t="n"/>
      <c r="H26" s="32" t="n"/>
      <c r="I26" s="33" t="n"/>
      <c r="J26" s="48">
        <f>B26+D26+F26+H26</f>
        <v/>
      </c>
      <c r="K26" s="48">
        <f>C26+E26+G26+I26</f>
        <v/>
      </c>
      <c r="L26" s="23" t="n"/>
    </row>
    <row r="27" ht="24.95" customFormat="1" customHeight="1" s="54" thickBot="1">
      <c r="A27" s="50" t="n">
        <v>46256</v>
      </c>
      <c r="B27" s="32" t="n"/>
      <c r="C27" s="48" t="n"/>
      <c r="D27" s="48" t="n"/>
      <c r="E27" s="48" t="n"/>
      <c r="F27" s="32" t="n"/>
      <c r="G27" s="33" t="n"/>
      <c r="H27" s="32" t="n"/>
      <c r="I27" s="33" t="n"/>
      <c r="J27" s="48">
        <f>B27+D27+F27+H27</f>
        <v/>
      </c>
      <c r="K27" s="48">
        <f>C27+E27+G27+I27</f>
        <v/>
      </c>
      <c r="L27" s="23" t="n"/>
    </row>
    <row r="28" ht="24.95" customFormat="1" customHeight="1" s="54" thickBot="1">
      <c r="A28" s="50" t="n">
        <v>46257</v>
      </c>
      <c r="B28" s="32" t="n"/>
      <c r="C28" s="48" t="n"/>
      <c r="D28" s="48" t="n"/>
      <c r="E28" s="48" t="n"/>
      <c r="F28" s="32" t="n"/>
      <c r="G28" s="33" t="n"/>
      <c r="H28" s="32" t="n"/>
      <c r="I28" s="33" t="n"/>
      <c r="J28" s="48">
        <f>B28+D28+F28+H28</f>
        <v/>
      </c>
      <c r="K28" s="48">
        <f>C28+E28+G28+I28</f>
        <v/>
      </c>
      <c r="L28" s="23" t="n"/>
    </row>
    <row r="29" ht="24.95" customFormat="1" customHeight="1" s="54" thickBot="1">
      <c r="A29" s="50" t="n">
        <v>46258</v>
      </c>
      <c r="B29" s="32" t="n"/>
      <c r="C29" s="48" t="n"/>
      <c r="D29" s="48" t="n"/>
      <c r="E29" s="48" t="n"/>
      <c r="F29" s="32" t="n"/>
      <c r="G29" s="33" t="n"/>
      <c r="H29" s="32" t="n"/>
      <c r="I29" s="33" t="n"/>
      <c r="J29" s="48">
        <f>B29+D29+F29+H29</f>
        <v/>
      </c>
      <c r="K29" s="48">
        <f>C29+E29+G29+I29</f>
        <v/>
      </c>
      <c r="L29" s="23" t="n"/>
    </row>
    <row r="30" ht="24.95" customFormat="1" customHeight="1" s="54" thickBot="1">
      <c r="A30" s="50" t="n">
        <v>46259</v>
      </c>
      <c r="B30" s="32" t="n"/>
      <c r="C30" s="48" t="n"/>
      <c r="D30" s="48" t="n"/>
      <c r="E30" s="48" t="n"/>
      <c r="F30" s="32" t="n"/>
      <c r="G30" s="33" t="n"/>
      <c r="H30" s="32" t="n"/>
      <c r="I30" s="33" t="n"/>
      <c r="J30" s="48">
        <f>B30+D30+F30+H30</f>
        <v/>
      </c>
      <c r="K30" s="48">
        <f>C30+E30+G30+I30</f>
        <v/>
      </c>
      <c r="L30" s="23" t="n"/>
    </row>
    <row r="31" ht="24.95" customFormat="1" customHeight="1" s="54" thickBot="1">
      <c r="A31" s="50" t="n">
        <v>46260</v>
      </c>
      <c r="B31" s="32" t="n"/>
      <c r="C31" s="48" t="n"/>
      <c r="D31" s="48" t="n"/>
      <c r="E31" s="48" t="n"/>
      <c r="F31" s="32" t="n"/>
      <c r="G31" s="33" t="n"/>
      <c r="H31" s="32" t="n"/>
      <c r="I31" s="33" t="n"/>
      <c r="J31" s="48">
        <f>B31+D31+F31+H31</f>
        <v/>
      </c>
      <c r="K31" s="48">
        <f>C31+E31+G31+I31</f>
        <v/>
      </c>
      <c r="L31" s="23" t="n"/>
    </row>
    <row r="32" ht="24.95" customFormat="1" customHeight="1" s="54" thickBot="1">
      <c r="A32" s="50" t="n">
        <v>46261</v>
      </c>
      <c r="B32" s="32" t="n"/>
      <c r="C32" s="48" t="n"/>
      <c r="D32" s="48" t="n"/>
      <c r="E32" s="48" t="n"/>
      <c r="F32" s="32" t="n"/>
      <c r="G32" s="33" t="n"/>
      <c r="H32" s="32" t="n"/>
      <c r="I32" s="33" t="n"/>
      <c r="J32" s="48">
        <f>B32+D32+F32+H32</f>
        <v/>
      </c>
      <c r="K32" s="48">
        <f>C32+E32+G32+I32</f>
        <v/>
      </c>
      <c r="L32" s="23" t="n"/>
    </row>
    <row r="33" ht="24.95" customFormat="1" customHeight="1" s="54" thickBot="1">
      <c r="A33" s="50" t="n">
        <v>46262</v>
      </c>
      <c r="B33" s="32" t="n"/>
      <c r="C33" s="48" t="n"/>
      <c r="D33" s="48" t="n"/>
      <c r="E33" s="48" t="n"/>
      <c r="F33" s="32" t="n"/>
      <c r="G33" s="33" t="n"/>
      <c r="H33" s="32" t="n"/>
      <c r="I33" s="33" t="n"/>
      <c r="J33" s="48">
        <f>B33+D33+F33+H33</f>
        <v/>
      </c>
      <c r="K33" s="48">
        <f>C33+E33+G33+I33</f>
        <v/>
      </c>
      <c r="L33" s="23" t="n"/>
    </row>
    <row r="34" ht="24.95" customFormat="1" customHeight="1" s="54" thickBot="1">
      <c r="A34" s="50" t="n">
        <v>46263</v>
      </c>
      <c r="B34" s="32" t="n"/>
      <c r="C34" s="48" t="n"/>
      <c r="D34" s="48" t="n"/>
      <c r="E34" s="48" t="n"/>
      <c r="F34" s="32" t="n"/>
      <c r="G34" s="33" t="n"/>
      <c r="H34" s="32" t="n"/>
      <c r="I34" s="33" t="n"/>
      <c r="J34" s="48">
        <f>B34+D34+F34+H34</f>
        <v/>
      </c>
      <c r="K34" s="48">
        <f>C34+E34+G34+I34</f>
        <v/>
      </c>
      <c r="L34" s="23" t="n"/>
    </row>
    <row r="35" ht="24.95" customFormat="1" customHeight="1" s="54" thickBot="1">
      <c r="A35" s="50" t="n">
        <v>46264</v>
      </c>
      <c r="B35" s="32" t="n"/>
      <c r="C35" s="48" t="n"/>
      <c r="D35" s="48" t="n"/>
      <c r="E35" s="48" t="n"/>
      <c r="F35" s="32" t="n"/>
      <c r="G35" s="33" t="n"/>
      <c r="H35" s="32" t="n"/>
      <c r="I35" s="33" t="n"/>
      <c r="J35" s="48">
        <f>B35+D35+F35+H35</f>
        <v/>
      </c>
      <c r="K35" s="48">
        <f>C35+E35+G35+I35</f>
        <v/>
      </c>
      <c r="L35" s="23" t="n"/>
    </row>
    <row r="36" ht="24.95" customFormat="1" customHeight="1" s="54" thickBot="1">
      <c r="A36" s="50" t="n">
        <v>46265</v>
      </c>
      <c r="B36" s="32" t="n"/>
      <c r="C36" s="48" t="n"/>
      <c r="D36" s="48" t="n"/>
      <c r="E36" s="48" t="n"/>
      <c r="F36" s="32" t="n"/>
      <c r="G36" s="33" t="n"/>
      <c r="H36" s="32" t="n"/>
      <c r="I36" s="33" t="n"/>
      <c r="J36" s="48">
        <f>B36+D36+F36+H36</f>
        <v/>
      </c>
      <c r="K36" s="48">
        <f>C36+E36+G36+I36</f>
        <v/>
      </c>
      <c r="L36" s="23" t="n"/>
    </row>
    <row r="37" hidden="1" ht="24.95" customFormat="1" customHeight="1" s="54">
      <c r="A37" s="31" t="n"/>
      <c r="B37" s="32" t="n"/>
      <c r="C37" s="48" t="n">
        <v>1</v>
      </c>
      <c r="D37" s="48" t="n"/>
      <c r="E37" s="48" t="n"/>
      <c r="F37" s="32" t="n"/>
      <c r="G37" s="33" t="n"/>
      <c r="H37" s="32" t="n"/>
      <c r="I37" s="33" t="n"/>
      <c r="J37" s="34">
        <f>B37+D37+F37+H37</f>
        <v/>
      </c>
      <c r="K37" s="41">
        <f>C37+E37+G37+I37</f>
        <v/>
      </c>
      <c r="L37" s="23" t="n"/>
    </row>
    <row r="38" hidden="1" ht="24.95" customFormat="1" customHeight="1" s="54">
      <c r="A38" s="31" t="n"/>
      <c r="B38" s="32" t="n"/>
      <c r="C38" s="48" t="n">
        <v>2</v>
      </c>
      <c r="D38" s="48" t="n"/>
      <c r="E38" s="48" t="n"/>
      <c r="F38" s="32" t="n"/>
      <c r="G38" s="33" t="n"/>
      <c r="H38" s="32" t="n"/>
      <c r="I38" s="33" t="n"/>
      <c r="J38" s="34">
        <f>B38+D38+F38+H38</f>
        <v/>
      </c>
      <c r="K38" s="41">
        <f>C38+E38+G38+I38</f>
        <v/>
      </c>
      <c r="L38" s="23" t="n"/>
    </row>
    <row r="39" hidden="1" ht="24.95" customFormat="1" customHeight="1" s="54">
      <c r="A39" s="31" t="n"/>
      <c r="B39" s="32" t="n"/>
      <c r="C39" s="48" t="n">
        <v>1</v>
      </c>
      <c r="D39" s="48" t="n"/>
      <c r="E39" s="48" t="n"/>
      <c r="F39" s="32" t="n"/>
      <c r="G39" s="33" t="n"/>
      <c r="H39" s="32" t="n"/>
      <c r="I39" s="33" t="n"/>
      <c r="J39" s="34">
        <f>B39+D39+F39+H39</f>
        <v/>
      </c>
      <c r="K39" s="41">
        <f>C39+E39+G39+I39</f>
        <v/>
      </c>
      <c r="L39" s="23" t="n"/>
    </row>
    <row r="40" hidden="1" ht="24.95" customFormat="1" customHeight="1" s="54">
      <c r="A40" s="31" t="n"/>
      <c r="B40" s="32" t="n"/>
      <c r="C40" s="48" t="n">
        <v>4</v>
      </c>
      <c r="D40" s="48" t="n"/>
      <c r="E40" s="48" t="n"/>
      <c r="F40" s="32" t="n"/>
      <c r="G40" s="33" t="n"/>
      <c r="H40" s="32" t="n"/>
      <c r="I40" s="33" t="n"/>
      <c r="J40" s="34">
        <f>B40+D40+F40+H40</f>
        <v/>
      </c>
      <c r="K40" s="41">
        <f>C40+E40+G40+I40</f>
        <v/>
      </c>
      <c r="L40" s="23" t="n"/>
    </row>
    <row r="41" hidden="1" ht="24.95" customFormat="1" customHeight="1" s="54">
      <c r="A41" s="31" t="n"/>
      <c r="B41" s="32" t="n"/>
      <c r="C41" s="48" t="n">
        <v>3</v>
      </c>
      <c r="D41" s="48" t="n"/>
      <c r="E41" s="48" t="n"/>
      <c r="F41" s="32" t="n"/>
      <c r="G41" s="33" t="n"/>
      <c r="H41" s="32" t="n"/>
      <c r="I41" s="33" t="n"/>
      <c r="J41" s="34">
        <f>B41+D41+F41+H41</f>
        <v/>
      </c>
      <c r="K41" s="41">
        <f>C41+E41+G41+I41</f>
        <v/>
      </c>
      <c r="L41" s="23" t="n"/>
    </row>
    <row r="42" hidden="1" ht="24.95" customFormat="1" customHeight="1" s="54">
      <c r="A42" s="31" t="n"/>
      <c r="B42" s="32" t="n"/>
      <c r="C42" s="48" t="n">
        <v>4</v>
      </c>
      <c r="D42" s="48" t="n"/>
      <c r="E42" s="48" t="n"/>
      <c r="F42" s="32" t="n"/>
      <c r="G42" s="33" t="n"/>
      <c r="H42" s="32" t="n"/>
      <c r="I42" s="33" t="n"/>
      <c r="J42" s="34">
        <f>B42+D42+F42+H42</f>
        <v/>
      </c>
      <c r="K42" s="41">
        <f>C42+E42+G42+I42</f>
        <v/>
      </c>
      <c r="L42" s="23" t="n"/>
    </row>
    <row r="43" hidden="1" ht="24.95" customFormat="1" customHeight="1" s="54">
      <c r="A43" s="31" t="n"/>
      <c r="B43" s="32" t="n"/>
      <c r="C43" s="48" t="n">
        <v>3</v>
      </c>
      <c r="D43" s="48" t="n"/>
      <c r="E43" s="48" t="n"/>
      <c r="F43" s="32" t="n"/>
      <c r="G43" s="33" t="n"/>
      <c r="H43" s="32" t="n"/>
      <c r="I43" s="33" t="n"/>
      <c r="J43" s="34">
        <f>B43+D43+F43+H43</f>
        <v/>
      </c>
      <c r="K43" s="41">
        <f>C43+E43+G43+I43</f>
        <v/>
      </c>
      <c r="L43" s="23" t="n"/>
    </row>
    <row r="44" hidden="1" ht="24.95" customFormat="1" customHeight="1" s="54">
      <c r="A44" s="31" t="n"/>
      <c r="B44" s="32" t="n"/>
      <c r="C44" s="48" t="n">
        <v>2</v>
      </c>
      <c r="D44" s="48" t="n"/>
      <c r="E44" s="48" t="n"/>
      <c r="F44" s="32" t="n"/>
      <c r="G44" s="33" t="n"/>
      <c r="H44" s="32" t="n"/>
      <c r="I44" s="33" t="n"/>
      <c r="J44" s="34">
        <f>B44+D44+F44+H44</f>
        <v/>
      </c>
      <c r="K44" s="41">
        <f>C44+E44+G44+I44</f>
        <v/>
      </c>
      <c r="L44" s="23" t="n"/>
    </row>
    <row r="45" hidden="1" ht="24.95" customFormat="1" customHeight="1" s="54">
      <c r="A45" s="31" t="n"/>
      <c r="B45" s="32" t="n"/>
      <c r="C45" s="48" t="n">
        <v>3</v>
      </c>
      <c r="D45" s="48" t="n"/>
      <c r="E45" s="48" t="n"/>
      <c r="F45" s="32" t="n"/>
      <c r="G45" s="33" t="n"/>
      <c r="H45" s="32" t="n"/>
      <c r="I45" s="33" t="n"/>
      <c r="J45" s="34">
        <f>B45+D45+F45+H45</f>
        <v/>
      </c>
      <c r="K45" s="41">
        <f>C45+E45+G45+I45</f>
        <v/>
      </c>
      <c r="L45" s="23" t="n"/>
    </row>
    <row r="46" hidden="1" ht="24.95" customFormat="1" customHeight="1" s="54">
      <c r="A46" s="31" t="n"/>
      <c r="B46" s="32" t="n"/>
      <c r="C46" s="48" t="n">
        <v>3</v>
      </c>
      <c r="D46" s="48" t="n"/>
      <c r="E46" s="48" t="n"/>
      <c r="F46" s="32" t="n"/>
      <c r="G46" s="33" t="n"/>
      <c r="H46" s="32" t="n"/>
      <c r="I46" s="33" t="n"/>
      <c r="J46" s="34">
        <f>B46+D46+F46+H46</f>
        <v/>
      </c>
      <c r="K46" s="41">
        <f>C46+E46+G46+I46</f>
        <v/>
      </c>
      <c r="L46" s="23" t="n"/>
    </row>
    <row r="47" hidden="1" ht="24.95" customFormat="1" customHeight="1" s="54">
      <c r="A47" s="31" t="n"/>
      <c r="B47" s="32" t="n"/>
      <c r="C47" s="48" t="n">
        <v>2</v>
      </c>
      <c r="D47" s="48" t="n"/>
      <c r="E47" s="48" t="n"/>
      <c r="F47" s="32" t="n"/>
      <c r="G47" s="33" t="n"/>
      <c r="H47" s="32" t="n"/>
      <c r="I47" s="33" t="n"/>
      <c r="J47" s="34">
        <f>B47+D47+F47+H47</f>
        <v/>
      </c>
      <c r="K47" s="41">
        <f>C47+E47+G47+I47</f>
        <v/>
      </c>
      <c r="L47" s="23" t="n"/>
    </row>
    <row r="48" hidden="1" ht="24.95" customFormat="1" customHeight="1" s="54">
      <c r="A48" s="31" t="n"/>
      <c r="B48" s="32" t="n"/>
      <c r="C48" s="48" t="n">
        <v>3</v>
      </c>
      <c r="D48" s="48" t="n"/>
      <c r="E48" s="48" t="n"/>
      <c r="F48" s="32" t="n"/>
      <c r="G48" s="33" t="n"/>
      <c r="H48" s="32" t="n"/>
      <c r="I48" s="33" t="n"/>
      <c r="J48" s="34">
        <f>B48+D48+F48+H48</f>
        <v/>
      </c>
      <c r="K48" s="41">
        <f>C48+E48+G48+I48</f>
        <v/>
      </c>
      <c r="L48" s="23" t="n"/>
    </row>
    <row r="49" hidden="1" ht="24.95" customFormat="1" customHeight="1" s="54">
      <c r="A49" s="31" t="n"/>
      <c r="B49" s="32" t="n"/>
      <c r="C49" s="48" t="n">
        <v>1</v>
      </c>
      <c r="D49" s="48" t="n"/>
      <c r="E49" s="48" t="n"/>
      <c r="F49" s="32" t="n"/>
      <c r="G49" s="33" t="n"/>
      <c r="H49" s="32" t="n"/>
      <c r="I49" s="33" t="n"/>
      <c r="J49" s="34">
        <f>B49+D49+F49+H49</f>
        <v/>
      </c>
      <c r="K49" s="41">
        <f>C49+E49+G49+I49</f>
        <v/>
      </c>
      <c r="L49" s="23" t="n"/>
    </row>
    <row r="50" hidden="1" ht="24.95" customFormat="1" customHeight="1" s="54">
      <c r="A50" s="31" t="n"/>
      <c r="B50" s="32" t="n"/>
      <c r="C50" s="48" t="n">
        <v>2</v>
      </c>
      <c r="D50" s="48" t="n"/>
      <c r="E50" s="48" t="n"/>
      <c r="F50" s="32" t="n"/>
      <c r="G50" s="33" t="n"/>
      <c r="H50" s="32" t="n"/>
      <c r="I50" s="33" t="n"/>
      <c r="J50" s="34">
        <f>B50+D50+F50+H50</f>
        <v/>
      </c>
      <c r="K50" s="41">
        <f>C50+E50+G50+I50</f>
        <v/>
      </c>
      <c r="L50" s="23" t="n"/>
    </row>
    <row r="51" hidden="1" ht="24.95" customFormat="1" customHeight="1" s="54">
      <c r="A51" s="31" t="n"/>
      <c r="B51" s="32" t="n"/>
      <c r="C51" s="48" t="n">
        <v>2</v>
      </c>
      <c r="D51" s="48" t="n"/>
      <c r="E51" s="48" t="n"/>
      <c r="F51" s="32" t="n"/>
      <c r="G51" s="33" t="n"/>
      <c r="H51" s="32" t="n"/>
      <c r="I51" s="33" t="n"/>
      <c r="J51" s="34">
        <f>B51+D51+F51+H51</f>
        <v/>
      </c>
      <c r="K51" s="41">
        <f>C51+E51+G51+I51</f>
        <v/>
      </c>
      <c r="L51" s="23" t="n"/>
    </row>
    <row r="52" hidden="1" ht="24.95" customFormat="1" customHeight="1" s="54">
      <c r="A52" s="31" t="n"/>
      <c r="B52" s="32" t="n"/>
      <c r="C52" s="48" t="n">
        <v>2</v>
      </c>
      <c r="D52" s="32" t="n"/>
      <c r="E52" s="48" t="n"/>
      <c r="F52" s="32" t="n"/>
      <c r="G52" s="33" t="n"/>
      <c r="H52" s="32" t="n"/>
      <c r="I52" s="33" t="n"/>
      <c r="J52" s="34">
        <f>B52+D52+F52+H52</f>
        <v/>
      </c>
      <c r="K52" s="41">
        <f>C52+E52+G52+I52</f>
        <v/>
      </c>
      <c r="L52" s="23" t="n"/>
    </row>
    <row r="53" hidden="1" ht="24.95" customFormat="1" customHeight="1" s="54">
      <c r="A53" s="31" t="n"/>
      <c r="B53" s="32" t="n"/>
      <c r="C53" s="48" t="n">
        <v>4</v>
      </c>
      <c r="D53" s="32" t="n"/>
      <c r="E53" s="48" t="n"/>
      <c r="F53" s="32" t="n"/>
      <c r="G53" s="33" t="n"/>
      <c r="H53" s="32" t="n"/>
      <c r="I53" s="33" t="n"/>
      <c r="J53" s="34">
        <f>B53+D53+F53+H53</f>
        <v/>
      </c>
      <c r="K53" s="41">
        <f>C53+E53+G53+I53</f>
        <v/>
      </c>
      <c r="L53" s="23" t="n"/>
    </row>
    <row r="54" hidden="1" ht="24.95" customFormat="1" customHeight="1" s="54">
      <c r="A54" s="31" t="n"/>
      <c r="B54" s="32" t="n"/>
      <c r="C54" s="48" t="n">
        <v>4</v>
      </c>
      <c r="D54" s="32" t="n"/>
      <c r="E54" s="48" t="n"/>
      <c r="F54" s="32" t="n"/>
      <c r="G54" s="33" t="n"/>
      <c r="H54" s="32" t="n"/>
      <c r="I54" s="33" t="n"/>
      <c r="J54" s="34">
        <f>B54+D54+F54+H54</f>
        <v/>
      </c>
      <c r="K54" s="41">
        <f>C54+E54+G54+I54</f>
        <v/>
      </c>
      <c r="L54" s="23" t="n"/>
    </row>
    <row r="55" hidden="1" ht="24.95" customFormat="1" customHeight="1" s="54">
      <c r="A55" s="31" t="n"/>
      <c r="B55" s="32" t="n"/>
      <c r="C55" s="48" t="n">
        <v>3</v>
      </c>
      <c r="D55" s="32" t="n"/>
      <c r="E55" s="48" t="n"/>
      <c r="F55" s="32" t="n"/>
      <c r="G55" s="33" t="n"/>
      <c r="H55" s="32" t="n"/>
      <c r="I55" s="33" t="n"/>
      <c r="J55" s="34">
        <f>B55+D55+F55+H55</f>
        <v/>
      </c>
      <c r="K55" s="41">
        <f>C55+E55+G55+I55</f>
        <v/>
      </c>
      <c r="L55" s="23" t="n"/>
    </row>
    <row r="56" hidden="1" ht="24.95" customFormat="1" customHeight="1" s="54">
      <c r="A56" s="31" t="n"/>
      <c r="B56" s="32" t="n"/>
      <c r="C56" s="48" t="n">
        <v>2</v>
      </c>
      <c r="D56" s="32" t="n"/>
      <c r="E56" s="48" t="n"/>
      <c r="F56" s="32" t="n"/>
      <c r="G56" s="33" t="n"/>
      <c r="H56" s="32" t="n"/>
      <c r="I56" s="33" t="n"/>
      <c r="J56" s="34">
        <f>B56+D56+F56+H56</f>
        <v/>
      </c>
      <c r="K56" s="41">
        <f>C56+E56+G56+I56</f>
        <v/>
      </c>
      <c r="L56" s="23" t="n"/>
    </row>
    <row r="57" hidden="1" ht="24.95" customFormat="1" customHeight="1" s="54">
      <c r="A57" s="31" t="n"/>
      <c r="B57" s="32" t="n"/>
      <c r="C57" s="48" t="n">
        <v>3</v>
      </c>
      <c r="D57" s="32" t="n"/>
      <c r="E57" s="48" t="n"/>
      <c r="F57" s="32" t="n"/>
      <c r="G57" s="33" t="n"/>
      <c r="H57" s="32" t="n"/>
      <c r="I57" s="33" t="n"/>
      <c r="J57" s="34">
        <f>B57+D57+F57+H57</f>
        <v/>
      </c>
      <c r="K57" s="41">
        <f>C57+E57+G57+I57</f>
        <v/>
      </c>
      <c r="L57" s="23" t="n"/>
    </row>
    <row r="58" hidden="1" ht="24.95" customFormat="1" customHeight="1" s="54">
      <c r="A58" s="31" t="n"/>
      <c r="B58" s="32" t="n"/>
      <c r="C58" s="48" t="n">
        <v>1</v>
      </c>
      <c r="D58" s="32" t="n"/>
      <c r="E58" s="48" t="n"/>
      <c r="F58" s="32" t="n"/>
      <c r="G58" s="33" t="n"/>
      <c r="H58" s="32" t="n"/>
      <c r="I58" s="33" t="n"/>
      <c r="J58" s="34">
        <f>B58+D58+F58+H58</f>
        <v/>
      </c>
      <c r="K58" s="41">
        <f>C58+E58+G58+I58</f>
        <v/>
      </c>
      <c r="L58" s="23" t="n"/>
    </row>
    <row r="59" hidden="1" ht="24.95" customFormat="1" customHeight="1" s="54">
      <c r="A59" s="31" t="n"/>
      <c r="B59" s="32" t="n"/>
      <c r="C59" s="48" t="n">
        <v>2</v>
      </c>
      <c r="D59" s="32" t="n"/>
      <c r="E59" s="48" t="n"/>
      <c r="F59" s="32" t="n"/>
      <c r="G59" s="33" t="n"/>
      <c r="H59" s="32" t="n"/>
      <c r="I59" s="33" t="n"/>
      <c r="J59" s="34">
        <f>B59+D59+F59+H59</f>
        <v/>
      </c>
      <c r="K59" s="41">
        <f>C59+E59+G59+I59</f>
        <v/>
      </c>
      <c r="L59" s="23" t="n"/>
    </row>
    <row r="60" hidden="1" ht="24.95" customFormat="1" customHeight="1" s="54">
      <c r="A60" s="31" t="n"/>
      <c r="B60" s="32" t="n"/>
      <c r="C60" s="48" t="n">
        <v>1</v>
      </c>
      <c r="D60" s="32" t="n"/>
      <c r="E60" s="48" t="n"/>
      <c r="F60" s="32" t="n"/>
      <c r="G60" s="33" t="n"/>
      <c r="H60" s="32" t="n"/>
      <c r="I60" s="33" t="n"/>
      <c r="J60" s="34">
        <f>B60+D60+F60+H60</f>
        <v/>
      </c>
      <c r="K60" s="41">
        <f>C60+E60+G60+I60</f>
        <v/>
      </c>
      <c r="L60" s="23" t="n"/>
    </row>
    <row r="61" hidden="1" ht="24.95" customFormat="1" customHeight="1" s="54">
      <c r="A61" s="31" t="n"/>
      <c r="B61" s="32" t="n"/>
      <c r="C61" s="48" t="n">
        <v>3</v>
      </c>
      <c r="D61" s="32" t="n"/>
      <c r="E61" s="48" t="n"/>
      <c r="F61" s="32" t="n"/>
      <c r="G61" s="33" t="n"/>
      <c r="H61" s="32" t="n"/>
      <c r="I61" s="33" t="n"/>
      <c r="J61" s="34">
        <f>B61+D61+F61+H61</f>
        <v/>
      </c>
      <c r="K61" s="41">
        <f>C61+E61+G61+I61</f>
        <v/>
      </c>
      <c r="L61" s="23" t="n"/>
    </row>
    <row r="62" hidden="1" ht="24.95" customFormat="1" customHeight="1" s="54">
      <c r="A62" s="31" t="n"/>
      <c r="B62" s="32" t="n"/>
      <c r="C62" s="48" t="n">
        <v>4</v>
      </c>
      <c r="D62" s="32" t="n"/>
      <c r="E62" s="48" t="n"/>
      <c r="F62" s="32" t="n"/>
      <c r="G62" s="33" t="n"/>
      <c r="H62" s="32" t="n"/>
      <c r="I62" s="33" t="n"/>
      <c r="J62" s="34">
        <f>B62+D62+F62+H62</f>
        <v/>
      </c>
      <c r="K62" s="41">
        <f>C62+E62+G62+I62</f>
        <v/>
      </c>
      <c r="L62" s="23" t="n"/>
    </row>
    <row r="63" hidden="1" ht="24.95" customFormat="1" customHeight="1" s="54">
      <c r="A63" s="31" t="n"/>
      <c r="B63" s="32" t="n"/>
      <c r="C63" s="48" t="n">
        <v>3</v>
      </c>
      <c r="D63" s="32" t="n"/>
      <c r="E63" s="48" t="n"/>
      <c r="F63" s="32" t="n"/>
      <c r="G63" s="33" t="n"/>
      <c r="H63" s="32" t="n"/>
      <c r="I63" s="33" t="n"/>
      <c r="J63" s="34">
        <f>B63+D63+F63+H63</f>
        <v/>
      </c>
      <c r="K63" s="41">
        <f>C63+E63+G63+I63</f>
        <v/>
      </c>
      <c r="L63" s="23" t="n"/>
    </row>
    <row r="64" hidden="1" ht="24.95" customFormat="1" customHeight="1" s="54">
      <c r="A64" s="31" t="n"/>
      <c r="B64" s="32" t="n"/>
      <c r="C64" s="48" t="n">
        <v>1</v>
      </c>
      <c r="D64" s="32" t="n"/>
      <c r="E64" s="48" t="n"/>
      <c r="F64" s="32" t="n"/>
      <c r="G64" s="33" t="n"/>
      <c r="H64" s="32" t="n"/>
      <c r="I64" s="33" t="n"/>
      <c r="J64" s="34">
        <f>B64+D64+F64+H64</f>
        <v/>
      </c>
      <c r="K64" s="41">
        <f>C64+E64+G64+I64</f>
        <v/>
      </c>
      <c r="L64" s="23" t="n"/>
    </row>
    <row r="65" hidden="1" ht="24.95" customFormat="1" customHeight="1" s="54">
      <c r="A65" s="31" t="n"/>
      <c r="B65" s="32" t="n"/>
      <c r="C65" s="48" t="n">
        <v>2</v>
      </c>
      <c r="D65" s="32" t="n"/>
      <c r="E65" s="33" t="n"/>
      <c r="F65" s="32" t="n"/>
      <c r="G65" s="33" t="n"/>
      <c r="H65" s="32" t="n"/>
      <c r="I65" s="33" t="n"/>
      <c r="J65" s="34">
        <f>B65+D65+F65+H65</f>
        <v/>
      </c>
      <c r="K65" s="41">
        <f>C65+E65+G65+I65</f>
        <v/>
      </c>
      <c r="L65" s="23" t="n"/>
    </row>
    <row r="66" hidden="1" ht="24.95" customFormat="1" customHeight="1" s="54">
      <c r="A66" s="31" t="n"/>
      <c r="B66" s="32" t="n"/>
      <c r="C66" s="48" t="n">
        <v>3</v>
      </c>
      <c r="D66" s="32" t="n"/>
      <c r="E66" s="33" t="n"/>
      <c r="F66" s="32" t="n"/>
      <c r="G66" s="33" t="n"/>
      <c r="H66" s="32" t="n"/>
      <c r="I66" s="33" t="n"/>
      <c r="J66" s="34">
        <f>B66+D66+F66+H66</f>
        <v/>
      </c>
      <c r="K66" s="41">
        <f>C66+E66+G66+I66</f>
        <v/>
      </c>
      <c r="L66" s="23" t="n"/>
    </row>
    <row r="67" hidden="1" ht="24.95" customFormat="1" customHeight="1" s="54">
      <c r="A67" s="31" t="n"/>
      <c r="B67" s="32" t="n"/>
      <c r="C67" s="48" t="n">
        <v>2</v>
      </c>
      <c r="D67" s="32" t="n"/>
      <c r="E67" s="33" t="n"/>
      <c r="F67" s="32" t="n"/>
      <c r="G67" s="33" t="n"/>
      <c r="H67" s="32" t="n"/>
      <c r="I67" s="33" t="n"/>
      <c r="J67" s="34">
        <f>B67+D67+F67+H67</f>
        <v/>
      </c>
      <c r="K67" s="41">
        <f>C67+E67+G67+I67</f>
        <v/>
      </c>
      <c r="L67" s="23" t="n"/>
    </row>
    <row r="68" ht="15" customHeight="1" s="43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</row>
    <row r="69" ht="15" customHeight="1" s="43">
      <c r="A69" s="25" t="inlineStr">
        <is>
          <t>Legend:</t>
        </is>
      </c>
      <c r="B69" s="26" t="inlineStr">
        <is>
          <t>Blue text = cells to fill in daily; Total columns auto-calculate</t>
        </is>
      </c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</row>
    <row r="70" ht="15" customHeight="1" s="43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</row>
    <row r="71" ht="15" customHeight="1" s="43">
      <c r="A71" s="38" t="inlineStr">
        <is>
          <t>MONTH TOTAL</t>
        </is>
      </c>
      <c r="B71" s="39">
        <f>SUM(B6:B67)</f>
        <v/>
      </c>
      <c r="C71" s="40">
        <f>SUM(C6:C36)</f>
        <v/>
      </c>
      <c r="D71" s="39">
        <f>SUM(D6:D67)</f>
        <v/>
      </c>
      <c r="E71" s="40">
        <f>SUM(E6:E67)</f>
        <v/>
      </c>
      <c r="F71" s="39">
        <f>SUM(F6:F67)</f>
        <v/>
      </c>
      <c r="G71" s="40">
        <f>SUM(G6:G67)</f>
        <v/>
      </c>
      <c r="H71" s="39">
        <f>SUM(H6:H67)</f>
        <v/>
      </c>
      <c r="I71" s="40">
        <f>SUM(I6:I67)</f>
        <v/>
      </c>
      <c r="J71" s="39">
        <f>SUM(J6:J67)</f>
        <v/>
      </c>
      <c r="K71" s="42">
        <f>SUM(K6:K67)</f>
        <v/>
      </c>
      <c r="L71" s="23" t="n"/>
    </row>
    <row r="72" ht="15.75" customHeight="1" s="43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</row>
    <row r="73" ht="30" customHeight="1" s="4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</row>
    <row r="74" ht="15" customHeight="1" s="43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</row>
    <row r="75" ht="15" customHeight="1" s="43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</row>
    <row r="76" ht="15" customHeight="1" s="43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</row>
    <row r="77" ht="15" customHeight="1" s="43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</row>
    <row r="78" ht="15" customHeight="1" s="43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</row>
    <row r="79" ht="15" customHeight="1" s="43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</row>
    <row r="80" ht="15" customHeight="1" s="43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</row>
  </sheetData>
  <mergeCells count="9">
    <mergeCell ref="F4:G4"/>
    <mergeCell ref="A4:A5"/>
    <mergeCell ref="J4:J5"/>
    <mergeCell ref="A2:K2"/>
    <mergeCell ref="K4:K5"/>
    <mergeCell ref="D4:E4"/>
    <mergeCell ref="H4:I4"/>
    <mergeCell ref="A1:K1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3" sqref="A13"/>
    </sheetView>
  </sheetViews>
  <sheetFormatPr baseColWidth="8" defaultRowHeight="15"/>
  <cols>
    <col width="20.42578125" customWidth="1" style="43" min="1" max="1"/>
    <col width="14.5703125" customWidth="1" style="43" min="2" max="2"/>
    <col width="27.42578125" customWidth="1" style="43" min="3" max="3"/>
    <col width="13.140625" customWidth="1" style="43" min="4" max="4"/>
    <col width="14" customWidth="1" style="43" min="5" max="5"/>
  </cols>
  <sheetData>
    <row r="1" ht="15.75" customHeight="1" s="43">
      <c r="A1" s="18" t="inlineStr">
        <is>
          <t>RM Shortage Tracker  —  fill in daily</t>
        </is>
      </c>
    </row>
    <row r="2" ht="25.5" customHeight="1" s="43">
      <c r="A2" s="102" t="inlineStr">
        <is>
          <t>Material Name</t>
        </is>
      </c>
      <c r="B2" s="102" t="inlineStr">
        <is>
          <t>Current Stock (MT)</t>
        </is>
      </c>
      <c r="C2" s="102" t="inlineStr">
        <is>
          <t>Min Required (MT)</t>
        </is>
      </c>
      <c r="D2" s="102" t="inlineStr">
        <is>
          <t>Shortage (MT)</t>
        </is>
      </c>
      <c r="E2" s="102" t="inlineStr">
        <is>
          <t>Status</t>
        </is>
      </c>
    </row>
    <row r="3">
      <c r="A3" s="21" t="inlineStr">
        <is>
          <t>Maize</t>
        </is>
      </c>
      <c r="B3" s="21" t="n">
        <v>120</v>
      </c>
      <c r="C3" s="21" t="n">
        <v>100</v>
      </c>
      <c r="D3">
        <f>MAX(C3-B3,0)</f>
        <v/>
      </c>
      <c r="E3">
        <f>IF(AND(B3&lt;&gt;"",C3&lt;&gt;""),IF(B3&lt;C3,"SHORTAGE","OK"),"")</f>
        <v/>
      </c>
    </row>
    <row r="4">
      <c r="A4" s="22" t="inlineStr">
        <is>
          <t>Soya DOC</t>
        </is>
      </c>
      <c r="B4" s="22" t="n">
        <v>80</v>
      </c>
      <c r="C4" s="22" t="n">
        <v>90</v>
      </c>
      <c r="D4">
        <f>MAX(C4-B4,0)</f>
        <v/>
      </c>
      <c r="E4">
        <f>IF(AND(B4&lt;&gt;"",C4&lt;&gt;""),IF(B4&lt;C4,"SHORTAGE","OK"),"")</f>
        <v/>
      </c>
    </row>
    <row r="5">
      <c r="A5" s="21" t="inlineStr">
        <is>
          <t>Broken Rice</t>
        </is>
      </c>
      <c r="B5" s="21" t="n">
        <v>60</v>
      </c>
      <c r="C5" s="21" t="n">
        <v>50</v>
      </c>
      <c r="D5">
        <f>MAX(C5-B5,0)</f>
        <v/>
      </c>
      <c r="E5">
        <f>IF(AND(B5&lt;&gt;"",C5&lt;&gt;""),IF(B5&lt;C5,"SHORTAGE","OK"),"")</f>
        <v/>
      </c>
    </row>
    <row r="6">
      <c r="A6" s="22" t="n"/>
      <c r="B6" s="22" t="n"/>
      <c r="C6" s="22" t="n"/>
      <c r="D6">
        <f>MAX(C6-B6,0)</f>
        <v/>
      </c>
      <c r="E6">
        <f>IF(AND(B6&lt;&gt;"",C6&lt;&gt;""),IF(B6&lt;C6,"SHORTAGE","OK"),"")</f>
        <v/>
      </c>
    </row>
    <row r="7">
      <c r="A7" s="21" t="n"/>
      <c r="B7" s="21" t="n"/>
      <c r="C7" s="21" t="n"/>
      <c r="D7">
        <f>MAX(C7-B7,0)</f>
        <v/>
      </c>
      <c r="E7">
        <f>IF(AND(B7&lt;&gt;"",C7&lt;&gt;""),IF(B7&lt;C7,"SHORTAGE","OK"),"")</f>
        <v/>
      </c>
    </row>
    <row r="8">
      <c r="A8" s="22" t="n"/>
      <c r="B8" s="22" t="n"/>
      <c r="C8" s="22" t="n"/>
      <c r="D8">
        <f>MAX(C8-B8,0)</f>
        <v/>
      </c>
      <c r="E8">
        <f>IF(AND(B8&lt;&gt;"",C8&lt;&gt;""),IF(B8&lt;C8,"SHORTAGE","OK"),"")</f>
        <v/>
      </c>
    </row>
    <row r="9">
      <c r="A9" s="21" t="n"/>
      <c r="B9" s="21" t="n"/>
      <c r="C9" s="21" t="n"/>
      <c r="D9">
        <f>MAX(C9-B9,0)</f>
        <v/>
      </c>
      <c r="E9">
        <f>IF(AND(B9&lt;&gt;"",C9&lt;&gt;""),IF(B9&lt;C9,"SHORTAGE","OK"),"")</f>
        <v/>
      </c>
    </row>
    <row r="10">
      <c r="A10" s="22" t="n"/>
      <c r="B10" s="22" t="n"/>
      <c r="C10" s="22" t="n"/>
      <c r="D10">
        <f>MAX(C10-B10,0)</f>
        <v/>
      </c>
      <c r="E10">
        <f>IF(AND(B10&lt;&gt;"",C10&lt;&gt;""),IF(B10&lt;C10,"SHORTAGE","OK"),"")</f>
        <v/>
      </c>
    </row>
    <row r="11">
      <c r="A11" s="21" t="n"/>
      <c r="B11" s="21" t="n"/>
      <c r="C11" s="21" t="n"/>
      <c r="D11">
        <f>MAX(C11-B11,0)</f>
        <v/>
      </c>
      <c r="E11">
        <f>IF(AND(B11&lt;&gt;"",C11&lt;&gt;""),IF(B11&lt;C11,"SHORTAGE","OK"),"")</f>
        <v/>
      </c>
    </row>
    <row r="12"/>
    <row r="13" ht="15.75" customHeight="1" s="43">
      <c r="A13" s="18" t="inlineStr">
        <is>
          <t>FG Stock-Out Tracker  —  fill in daily</t>
        </is>
      </c>
    </row>
    <row r="14" ht="25.5" customHeight="1" s="43">
      <c r="A14" s="102" t="inlineStr">
        <is>
          <t>Product</t>
        </is>
      </c>
      <c r="B14" s="102" t="inlineStr">
        <is>
          <t>Current Stock (MT)</t>
        </is>
      </c>
      <c r="C14" s="102" t="inlineStr">
        <is>
          <t>Active Orders (MT)</t>
        </is>
      </c>
      <c r="D14" s="102" t="inlineStr">
        <is>
          <t>Status</t>
        </is>
      </c>
    </row>
    <row r="15">
      <c r="A15" s="21" t="n"/>
      <c r="B15" s="21" t="n">
        <v>0</v>
      </c>
      <c r="C15" s="21" t="n">
        <v>0</v>
      </c>
      <c r="D15">
        <f>IF(B15&lt;&gt;"",IF(B15&lt;=0,"STOCK OUT","OK"),"")</f>
        <v/>
      </c>
    </row>
    <row r="16">
      <c r="A16" s="22" t="n"/>
      <c r="B16" s="22" t="n">
        <v>0</v>
      </c>
      <c r="C16" s="22" t="n">
        <v>0</v>
      </c>
      <c r="D16">
        <f>IF(B16&lt;&gt;"",IF(B16&lt;=0,"STOCK OUT","OK"),"")</f>
        <v/>
      </c>
    </row>
    <row r="17">
      <c r="A17" s="21" t="n"/>
      <c r="B17" s="21" t="n"/>
      <c r="C17" s="21" t="n"/>
      <c r="D17">
        <f>IF(B17&lt;&gt;"",IF(B17&lt;=0,"STOCK OUT","OK"),"")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2026-07-15T08:15:24Z</dcterms:created>
  <dcterms:modified xmlns:dcterms="http://purl.org/dc/terms/" xmlns:xsi="http://www.w3.org/2001/XMLSchema-instance" xsi:type="dcterms:W3CDTF">2026-10-08T05:54:01Z</dcterms:modified>
  <cp:lastModifiedBy>RGSUSER10</cp:lastModifiedBy>
  <cp:revision>4</cp:revision>
</cp:coreProperties>
</file>